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hidePivotFieldList="1"/>
  <mc:AlternateContent xmlns:mc="http://schemas.openxmlformats.org/markup-compatibility/2006">
    <mc:Choice Requires="x15">
      <x15ac:absPath xmlns:x15ac="http://schemas.microsoft.com/office/spreadsheetml/2010/11/ac" url="C:\Users\HI\Documents\DSA DATA ANALYSIS CLASS\DSA DATA ANALYSIS STUDY FILES\advanced data analysis class\Advanced project\"/>
    </mc:Choice>
  </mc:AlternateContent>
  <xr:revisionPtr revIDLastSave="0" documentId="13_ncr:1_{777BD731-0180-43F7-922F-CD10C183A968}" xr6:coauthVersionLast="40" xr6:coauthVersionMax="47" xr10:uidLastSave="{00000000-0000-0000-0000-000000000000}"/>
  <bookViews>
    <workbookView xWindow="-105" yWindow="-105" windowWidth="19425" windowHeight="10305" activeTab="3" xr2:uid="{00000000-000D-0000-FFFF-FFFF00000000}"/>
  </bookViews>
  <sheets>
    <sheet name="COVER" sheetId="3" r:id="rId1"/>
    <sheet name="DATA" sheetId="1" r:id="rId2"/>
    <sheet name="PIVOT" sheetId="4" r:id="rId3"/>
    <sheet name="DASHBOARD" sheetId="7" r:id="rId4"/>
  </sheets>
  <definedNames>
    <definedName name="Slicer_CATEGORY">#N/A</definedName>
    <definedName name="Slicer_PRODUCT">#N/A</definedName>
    <definedName name="Slicer_REGION">#N/A</definedName>
    <definedName name="Slicer_SALES_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E2" i="1"/>
  <c r="F2" i="1" s="1"/>
  <c r="E3" i="1"/>
  <c r="F3" i="1" s="1"/>
  <c r="E4" i="1"/>
  <c r="F4" i="1" s="1"/>
  <c r="E5" i="1"/>
  <c r="F5" i="1" s="1"/>
  <c r="E6" i="1"/>
  <c r="F6" i="1" s="1"/>
  <c r="E7" i="1"/>
  <c r="F7" i="1" s="1"/>
  <c r="E8" i="1"/>
  <c r="F8" i="1" s="1"/>
  <c r="E9" i="1"/>
  <c r="F9" i="1" s="1"/>
  <c r="E10" i="1"/>
  <c r="F10" i="1" s="1"/>
  <c r="E11" i="1"/>
  <c r="F11" i="1" s="1"/>
  <c r="E12" i="1"/>
  <c r="F12" i="1" s="1"/>
  <c r="E13" i="1"/>
  <c r="F13" i="1" s="1"/>
  <c r="E14" i="1"/>
  <c r="F14" i="1" s="1"/>
  <c r="E15" i="1"/>
  <c r="F15" i="1" s="1"/>
  <c r="E16" i="1"/>
  <c r="F16" i="1" s="1"/>
  <c r="E17" i="1"/>
  <c r="F17" i="1" s="1"/>
  <c r="E18" i="1"/>
  <c r="F18" i="1" s="1"/>
  <c r="E19" i="1"/>
  <c r="F19" i="1" s="1"/>
  <c r="E20" i="1"/>
  <c r="F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33" i="1"/>
  <c r="F33" i="1" s="1"/>
  <c r="E34" i="1"/>
  <c r="F34" i="1" s="1"/>
  <c r="E35" i="1"/>
  <c r="F35" i="1" s="1"/>
  <c r="E36" i="1"/>
  <c r="F36" i="1" s="1"/>
  <c r="E37" i="1"/>
  <c r="F37" i="1" s="1"/>
  <c r="E38" i="1"/>
  <c r="F38" i="1" s="1"/>
  <c r="E39" i="1"/>
  <c r="F39" i="1" s="1"/>
  <c r="E40" i="1"/>
  <c r="F40" i="1" s="1"/>
  <c r="E41" i="1"/>
  <c r="F41" i="1" s="1"/>
  <c r="E42" i="1"/>
  <c r="F42" i="1" s="1"/>
  <c r="E43" i="1"/>
  <c r="F43" i="1" s="1"/>
  <c r="E44" i="1"/>
  <c r="F44" i="1" s="1"/>
  <c r="E45" i="1"/>
  <c r="F45" i="1" s="1"/>
  <c r="E46" i="1"/>
  <c r="F46" i="1" s="1"/>
  <c r="E47" i="1"/>
  <c r="F47" i="1" s="1"/>
  <c r="E48" i="1"/>
  <c r="F48" i="1" s="1"/>
  <c r="E49" i="1"/>
  <c r="F49" i="1" s="1"/>
  <c r="E50" i="1"/>
  <c r="F50" i="1" s="1"/>
  <c r="E51" i="1"/>
  <c r="F51" i="1" s="1"/>
  <c r="E52" i="1"/>
  <c r="F52" i="1" s="1"/>
  <c r="E53" i="1"/>
  <c r="F53" i="1" s="1"/>
  <c r="E54" i="1"/>
  <c r="F54" i="1" s="1"/>
  <c r="E55" i="1"/>
  <c r="F55" i="1" s="1"/>
  <c r="E56" i="1"/>
  <c r="F56" i="1" s="1"/>
  <c r="E57" i="1"/>
  <c r="F57" i="1" s="1"/>
  <c r="E58" i="1"/>
  <c r="F58" i="1" s="1"/>
  <c r="E59" i="1"/>
  <c r="F59" i="1" s="1"/>
  <c r="E60" i="1"/>
  <c r="F60" i="1" s="1"/>
  <c r="E61" i="1"/>
  <c r="F61" i="1" s="1"/>
  <c r="E62" i="1"/>
  <c r="F62" i="1" s="1"/>
  <c r="E63" i="1"/>
  <c r="F63" i="1" s="1"/>
  <c r="E64" i="1"/>
  <c r="F64" i="1" s="1"/>
  <c r="E65" i="1"/>
  <c r="F65" i="1" s="1"/>
  <c r="E66" i="1"/>
  <c r="F66" i="1" s="1"/>
  <c r="E67" i="1"/>
  <c r="F67" i="1" s="1"/>
  <c r="E68" i="1"/>
  <c r="F68" i="1" s="1"/>
  <c r="E69" i="1"/>
  <c r="F69" i="1" s="1"/>
  <c r="E70" i="1"/>
  <c r="F70" i="1" s="1"/>
  <c r="E71" i="1"/>
  <c r="F71" i="1" s="1"/>
  <c r="E72" i="1"/>
  <c r="F72" i="1" s="1"/>
  <c r="E73" i="1"/>
  <c r="F73" i="1" s="1"/>
  <c r="E74" i="1"/>
  <c r="F74" i="1" s="1"/>
  <c r="E75" i="1"/>
  <c r="F75" i="1" s="1"/>
  <c r="E76" i="1"/>
  <c r="F76" i="1" s="1"/>
  <c r="E77" i="1"/>
  <c r="F77" i="1" s="1"/>
  <c r="E78" i="1"/>
  <c r="F78" i="1" s="1"/>
  <c r="E79" i="1"/>
  <c r="F79" i="1" s="1"/>
  <c r="E80" i="1"/>
  <c r="F80" i="1" s="1"/>
  <c r="E81" i="1"/>
  <c r="F81" i="1" s="1"/>
  <c r="E82" i="1"/>
  <c r="F82" i="1" s="1"/>
  <c r="E83" i="1"/>
  <c r="F83" i="1" s="1"/>
  <c r="E84" i="1"/>
  <c r="F84" i="1" s="1"/>
  <c r="E85" i="1"/>
  <c r="F85" i="1" s="1"/>
  <c r="E86" i="1"/>
  <c r="F86" i="1" s="1"/>
  <c r="E87" i="1"/>
  <c r="F87" i="1" s="1"/>
  <c r="E88" i="1"/>
  <c r="F88" i="1" s="1"/>
  <c r="E89" i="1"/>
  <c r="F89" i="1" s="1"/>
  <c r="E90" i="1"/>
  <c r="F90" i="1" s="1"/>
  <c r="E91" i="1"/>
  <c r="F91" i="1" s="1"/>
  <c r="E92" i="1"/>
  <c r="F92" i="1" s="1"/>
  <c r="E93" i="1"/>
  <c r="F93" i="1" s="1"/>
  <c r="E94" i="1"/>
  <c r="F94" i="1" s="1"/>
  <c r="E95" i="1"/>
  <c r="F95" i="1" s="1"/>
  <c r="E96" i="1"/>
  <c r="F96" i="1" s="1"/>
  <c r="E97" i="1"/>
  <c r="F97" i="1" s="1"/>
  <c r="E98" i="1"/>
  <c r="F98" i="1" s="1"/>
  <c r="E99" i="1"/>
  <c r="F99" i="1" s="1"/>
  <c r="E100" i="1"/>
  <c r="F100" i="1" s="1"/>
  <c r="E101" i="1"/>
  <c r="F101" i="1" s="1"/>
  <c r="B2" i="1"/>
  <c r="C2" i="1" s="1"/>
  <c r="B3" i="1"/>
  <c r="C3" i="1" s="1"/>
  <c r="B4" i="1"/>
  <c r="C4" i="1" s="1"/>
  <c r="B5" i="1"/>
  <c r="C5" i="1" s="1"/>
  <c r="B6" i="1"/>
  <c r="C6" i="1" s="1"/>
  <c r="B7" i="1"/>
  <c r="C7" i="1" s="1"/>
  <c r="B8" i="1"/>
  <c r="C8" i="1" s="1"/>
  <c r="B9" i="1"/>
  <c r="C9" i="1" s="1"/>
  <c r="B10" i="1"/>
  <c r="C10" i="1" s="1"/>
  <c r="B11" i="1"/>
  <c r="C11" i="1" s="1"/>
  <c r="B12" i="1"/>
  <c r="C12" i="1" s="1"/>
  <c r="B13" i="1"/>
  <c r="C13" i="1" s="1"/>
  <c r="B14" i="1"/>
  <c r="C14" i="1" s="1"/>
  <c r="B15" i="1"/>
  <c r="C15" i="1" s="1"/>
  <c r="B16" i="1"/>
  <c r="C16" i="1" s="1"/>
  <c r="B17" i="1"/>
  <c r="C17" i="1" s="1"/>
  <c r="B18" i="1"/>
  <c r="C18" i="1" s="1"/>
  <c r="B19" i="1"/>
  <c r="C19" i="1" s="1"/>
  <c r="B20" i="1"/>
  <c r="C20" i="1" s="1"/>
  <c r="B21" i="1"/>
  <c r="C21" i="1" s="1"/>
  <c r="B22" i="1"/>
  <c r="C22" i="1" s="1"/>
  <c r="B23" i="1"/>
  <c r="C23" i="1" s="1"/>
  <c r="B24" i="1"/>
  <c r="C24" i="1" s="1"/>
  <c r="B25" i="1"/>
  <c r="C25" i="1" s="1"/>
  <c r="B26" i="1"/>
  <c r="C26" i="1" s="1"/>
  <c r="B27" i="1"/>
  <c r="C27" i="1" s="1"/>
  <c r="B28" i="1"/>
  <c r="C28" i="1" s="1"/>
  <c r="B29" i="1"/>
  <c r="C29" i="1" s="1"/>
  <c r="B30" i="1"/>
  <c r="C30" i="1" s="1"/>
  <c r="B31" i="1"/>
  <c r="C31" i="1" s="1"/>
  <c r="B32" i="1"/>
  <c r="C32" i="1" s="1"/>
  <c r="B33" i="1"/>
  <c r="C33" i="1" s="1"/>
  <c r="B34" i="1"/>
  <c r="C34" i="1" s="1"/>
  <c r="B35" i="1"/>
  <c r="C35" i="1" s="1"/>
  <c r="B36" i="1"/>
  <c r="C36" i="1" s="1"/>
  <c r="B37" i="1"/>
  <c r="C37" i="1" s="1"/>
  <c r="B38" i="1"/>
  <c r="C38" i="1" s="1"/>
  <c r="B39" i="1"/>
  <c r="C39" i="1" s="1"/>
  <c r="B40" i="1"/>
  <c r="C40" i="1" s="1"/>
  <c r="B41" i="1"/>
  <c r="C41" i="1" s="1"/>
  <c r="B42" i="1"/>
  <c r="C42" i="1" s="1"/>
  <c r="B43" i="1"/>
  <c r="C43" i="1" s="1"/>
  <c r="B44" i="1"/>
  <c r="C44" i="1" s="1"/>
  <c r="B45" i="1"/>
  <c r="C45" i="1" s="1"/>
  <c r="B46" i="1"/>
  <c r="C46" i="1" s="1"/>
  <c r="B47" i="1"/>
  <c r="C47" i="1" s="1"/>
  <c r="B48" i="1"/>
  <c r="C48" i="1" s="1"/>
  <c r="B49" i="1"/>
  <c r="C49" i="1" s="1"/>
  <c r="B50" i="1"/>
  <c r="C50" i="1" s="1"/>
  <c r="B51" i="1"/>
  <c r="C51" i="1" s="1"/>
  <c r="B52" i="1"/>
  <c r="C52" i="1" s="1"/>
  <c r="B53" i="1"/>
  <c r="C53" i="1" s="1"/>
  <c r="B54" i="1"/>
  <c r="C54" i="1" s="1"/>
  <c r="B55" i="1"/>
  <c r="C55" i="1" s="1"/>
  <c r="B56" i="1"/>
  <c r="C56" i="1" s="1"/>
  <c r="B57" i="1"/>
  <c r="C57" i="1" s="1"/>
  <c r="B58" i="1"/>
  <c r="C58" i="1" s="1"/>
  <c r="B59" i="1"/>
  <c r="C59" i="1" s="1"/>
  <c r="B60" i="1"/>
  <c r="C60" i="1" s="1"/>
  <c r="B61" i="1"/>
  <c r="C61" i="1" s="1"/>
  <c r="B62" i="1"/>
  <c r="C62" i="1" s="1"/>
  <c r="B63" i="1"/>
  <c r="C63" i="1" s="1"/>
  <c r="B64" i="1"/>
  <c r="C64" i="1" s="1"/>
  <c r="B65" i="1"/>
  <c r="C65" i="1" s="1"/>
  <c r="B66" i="1"/>
  <c r="C66" i="1" s="1"/>
  <c r="B67" i="1"/>
  <c r="C67" i="1" s="1"/>
  <c r="B68" i="1"/>
  <c r="C68" i="1" s="1"/>
  <c r="B69" i="1"/>
  <c r="C69" i="1" s="1"/>
  <c r="B70" i="1"/>
  <c r="C70" i="1" s="1"/>
  <c r="B71" i="1"/>
  <c r="C71" i="1" s="1"/>
  <c r="B72" i="1"/>
  <c r="C72" i="1" s="1"/>
  <c r="B73" i="1"/>
  <c r="C73" i="1" s="1"/>
  <c r="B74" i="1"/>
  <c r="C74" i="1" s="1"/>
  <c r="B75" i="1"/>
  <c r="C75" i="1" s="1"/>
  <c r="B76" i="1"/>
  <c r="C76" i="1" s="1"/>
  <c r="B77" i="1"/>
  <c r="C77" i="1" s="1"/>
  <c r="B78" i="1"/>
  <c r="C78" i="1" s="1"/>
  <c r="B79" i="1"/>
  <c r="C79" i="1" s="1"/>
  <c r="B80" i="1"/>
  <c r="C80" i="1" s="1"/>
  <c r="B81" i="1"/>
  <c r="C81" i="1" s="1"/>
  <c r="B82" i="1"/>
  <c r="C82" i="1" s="1"/>
  <c r="B83" i="1"/>
  <c r="C83" i="1" s="1"/>
  <c r="B84" i="1"/>
  <c r="C84" i="1" s="1"/>
  <c r="B85" i="1"/>
  <c r="C85" i="1" s="1"/>
  <c r="B86" i="1"/>
  <c r="C86" i="1" s="1"/>
  <c r="B87" i="1"/>
  <c r="C87" i="1" s="1"/>
  <c r="B88" i="1"/>
  <c r="C88" i="1" s="1"/>
  <c r="B89" i="1"/>
  <c r="C89" i="1" s="1"/>
  <c r="B90" i="1"/>
  <c r="C90" i="1" s="1"/>
  <c r="B91" i="1"/>
  <c r="C91" i="1" s="1"/>
  <c r="B92" i="1"/>
  <c r="C92" i="1" s="1"/>
  <c r="B93" i="1"/>
  <c r="C93" i="1" s="1"/>
  <c r="B94" i="1"/>
  <c r="C94" i="1" s="1"/>
  <c r="B95" i="1"/>
  <c r="C95" i="1" s="1"/>
  <c r="B96" i="1"/>
  <c r="C96" i="1" s="1"/>
  <c r="B97" i="1"/>
  <c r="C97" i="1" s="1"/>
  <c r="B98" i="1"/>
  <c r="C98" i="1" s="1"/>
  <c r="B99" i="1"/>
  <c r="C99" i="1" s="1"/>
  <c r="B100" i="1"/>
  <c r="C100" i="1" s="1"/>
  <c r="B101" i="1"/>
  <c r="C101" i="1" s="1"/>
</calcChain>
</file>

<file path=xl/sharedStrings.xml><?xml version="1.0" encoding="utf-8"?>
<sst xmlns="http://schemas.openxmlformats.org/spreadsheetml/2006/main" count="1020" uniqueCount="428">
  <si>
    <t>South</t>
  </si>
  <si>
    <t xml:space="preserve">computers  </t>
  </si>
  <si>
    <t xml:space="preserve">  Peter Obi   </t>
  </si>
  <si>
    <t>bright solutions</t>
  </si>
  <si>
    <t xml:space="preserve"> EAST</t>
  </si>
  <si>
    <t>tv  43q</t>
  </si>
  <si>
    <t>ELECTRONICS</t>
  </si>
  <si>
    <t xml:space="preserve">Ifeanyi Okafor  </t>
  </si>
  <si>
    <t>Musa Enterprises</t>
  </si>
  <si>
    <t>PHONE X12</t>
  </si>
  <si>
    <t>Mobile</t>
  </si>
  <si>
    <t>fola balogun</t>
  </si>
  <si>
    <t xml:space="preserve"> ZAINAB GLOBAL  </t>
  </si>
  <si>
    <t xml:space="preserve">South </t>
  </si>
  <si>
    <t xml:space="preserve">  PERIPHERALS </t>
  </si>
  <si>
    <t>IFEANYI OKAFOR</t>
  </si>
  <si>
    <t xml:space="preserve"> Jid eSuperstores </t>
  </si>
  <si>
    <t>WEST</t>
  </si>
  <si>
    <t xml:space="preserve">  Phone X12 </t>
  </si>
  <si>
    <t xml:space="preserve"> Mobile</t>
  </si>
  <si>
    <t>petero bi</t>
  </si>
  <si>
    <t>chkia  mart</t>
  </si>
  <si>
    <t>east,</t>
  </si>
  <si>
    <t>mobile</t>
  </si>
  <si>
    <t>IFEANYI  OKAFOR</t>
  </si>
  <si>
    <t>Musa  Enterprises</t>
  </si>
  <si>
    <t xml:space="preserve"> WEST </t>
  </si>
  <si>
    <t xml:space="preserve">  tv 43q </t>
  </si>
  <si>
    <t xml:space="preserve"> Electronics</t>
  </si>
  <si>
    <t>AISHA  BELLO</t>
  </si>
  <si>
    <t>Chika  Mart</t>
  </si>
  <si>
    <t xml:space="preserve">west  </t>
  </si>
  <si>
    <t xml:space="preserve"> monitor m24  </t>
  </si>
  <si>
    <t>peripherals</t>
  </si>
  <si>
    <t>peter obi</t>
  </si>
  <si>
    <t xml:space="preserve">MUSA ENTERPIRSES </t>
  </si>
  <si>
    <t xml:space="preserve"> East </t>
  </si>
  <si>
    <t xml:space="preserve"> CAMERA C100</t>
  </si>
  <si>
    <t xml:space="preserve">PHOTOGRAPHY </t>
  </si>
  <si>
    <t xml:space="preserve"> fola balogun </t>
  </si>
  <si>
    <t xml:space="preserve">BRIGTH  SOLUTIONS </t>
  </si>
  <si>
    <t>West</t>
  </si>
  <si>
    <t>Tablet  T8</t>
  </si>
  <si>
    <t xml:space="preserve">  mobile ,</t>
  </si>
  <si>
    <t xml:space="preserve">  Peter Obi </t>
  </si>
  <si>
    <t>Alpha Retailers</t>
  </si>
  <si>
    <t>south</t>
  </si>
  <si>
    <t xml:space="preserve"> TABLET T8 	</t>
  </si>
  <si>
    <t xml:space="preserve">  Mobile</t>
  </si>
  <si>
    <t>fola  balogun</t>
  </si>
  <si>
    <t>MUSA ENTERPRISES</t>
  </si>
  <si>
    <t>North</t>
  </si>
  <si>
    <t xml:space="preserve"> Audio </t>
  </si>
  <si>
    <t>Aisha Bello</t>
  </si>
  <si>
    <t>Omega Wholesale</t>
  </si>
  <si>
    <t xml:space="preserve">TABLET  T8 </t>
  </si>
  <si>
    <t xml:space="preserve">Mobile </t>
  </si>
  <si>
    <t xml:space="preserve">  AISHA BELLO</t>
  </si>
  <si>
    <t>kelvin tech</t>
  </si>
  <si>
    <t xml:space="preserve"> eats</t>
  </si>
  <si>
    <t xml:space="preserve"> tv 43q</t>
  </si>
  <si>
    <t>Chinedu  Nwosu</t>
  </si>
  <si>
    <t>EMEKA  TRADERS</t>
  </si>
  <si>
    <t xml:space="preserve">SOUTH </t>
  </si>
  <si>
    <t xml:space="preserve"> Speaker S10 </t>
  </si>
  <si>
    <t xml:space="preserve"> Audio .</t>
  </si>
  <si>
    <t xml:space="preserve">ifeanyi okafor  </t>
  </si>
  <si>
    <t>BRIGHT SOLUTIONS</t>
  </si>
  <si>
    <t xml:space="preserve">East  </t>
  </si>
  <si>
    <t>monitor m24</t>
  </si>
  <si>
    <t xml:space="preserve"> Peripherals </t>
  </si>
  <si>
    <t xml:space="preserve">chinedu nwosu   </t>
  </si>
  <si>
    <t>tola  ventures</t>
  </si>
  <si>
    <t>East</t>
  </si>
  <si>
    <t xml:space="preserve">Camera  C100 </t>
  </si>
  <si>
    <t xml:space="preserve">Photography </t>
  </si>
  <si>
    <t xml:space="preserve"> Fola Balogun </t>
  </si>
  <si>
    <t xml:space="preserve">  West</t>
  </si>
  <si>
    <t>Tablet T8</t>
  </si>
  <si>
    <t xml:space="preserve">  mary john </t>
  </si>
  <si>
    <t xml:space="preserve">  Jide Superstores </t>
  </si>
  <si>
    <t xml:space="preserve"> Camera C100</t>
  </si>
  <si>
    <t>Photography</t>
  </si>
  <si>
    <t>Grace  Amos</t>
  </si>
  <si>
    <t xml:space="preserve">Femi Tech </t>
  </si>
  <si>
    <t xml:space="preserve"> North</t>
  </si>
  <si>
    <t>Camera  C100</t>
  </si>
  <si>
    <t>Chinedu Nwosu</t>
  </si>
  <si>
    <t>06-Apr-2025 .</t>
  </si>
  <si>
    <t xml:space="preserve"> EAST </t>
  </si>
  <si>
    <t>Laptop A15</t>
  </si>
  <si>
    <t>Computers</t>
  </si>
  <si>
    <t xml:space="preserve">GRACE AMOS </t>
  </si>
  <si>
    <t xml:space="preserve"> camera c100   </t>
  </si>
  <si>
    <t xml:space="preserve">  Photography </t>
  </si>
  <si>
    <t>PETER  OBI</t>
  </si>
  <si>
    <t xml:space="preserve">Emeka Traders </t>
  </si>
  <si>
    <t>EAST</t>
  </si>
  <si>
    <t xml:space="preserve">Tablet T8 </t>
  </si>
  <si>
    <t xml:space="preserve">  mobile.</t>
  </si>
  <si>
    <t>Maryam Ltd</t>
  </si>
  <si>
    <t>north</t>
  </si>
  <si>
    <t xml:space="preserve"> Tablet T8 </t>
  </si>
  <si>
    <t xml:space="preserve">mobile   </t>
  </si>
  <si>
    <t xml:space="preserve"> ifeanyi okafor </t>
  </si>
  <si>
    <t>omega  wholesale</t>
  </si>
  <si>
    <t xml:space="preserve">  West </t>
  </si>
  <si>
    <t>Laptop A15.</t>
  </si>
  <si>
    <t xml:space="preserve"> Computers </t>
  </si>
  <si>
    <t xml:space="preserve"> Grace Amos </t>
  </si>
  <si>
    <t xml:space="preserve">femi tech </t>
  </si>
  <si>
    <t xml:space="preserve"> East</t>
  </si>
  <si>
    <t xml:space="preserve">Camera C010 </t>
  </si>
  <si>
    <t>photography</t>
  </si>
  <si>
    <t xml:space="preserve">chinedu nwosu </t>
  </si>
  <si>
    <t>North.</t>
  </si>
  <si>
    <t xml:space="preserve"> SPEAKER S10</t>
  </si>
  <si>
    <t xml:space="preserve"> Audio.</t>
  </si>
  <si>
    <t>grace amos</t>
  </si>
  <si>
    <t xml:space="preserve">  Femi Tech </t>
  </si>
  <si>
    <t xml:space="preserve"> Monitor M24 </t>
  </si>
  <si>
    <t>PERIPHERALS</t>
  </si>
  <si>
    <t xml:space="preserve"> Kelvin Tech 	</t>
  </si>
  <si>
    <t xml:space="preserve">  South </t>
  </si>
  <si>
    <t xml:space="preserve">TV  43Q </t>
  </si>
  <si>
    <t>elecrtonics</t>
  </si>
  <si>
    <t xml:space="preserve"> zainab global	</t>
  </si>
  <si>
    <t>Electronics</t>
  </si>
  <si>
    <t xml:space="preserve">peter  obi </t>
  </si>
  <si>
    <t xml:space="preserve"> Femi Tech </t>
  </si>
  <si>
    <t>west</t>
  </si>
  <si>
    <t xml:space="preserve">Electronics   </t>
  </si>
  <si>
    <t>Tope &amp; Sons .</t>
  </si>
  <si>
    <t>TABLET T8</t>
  </si>
  <si>
    <t>mobile.</t>
  </si>
  <si>
    <t>alpha retailers</t>
  </si>
  <si>
    <t xml:space="preserve">North  </t>
  </si>
  <si>
    <t xml:space="preserve"> PHOTOGRAPHY</t>
  </si>
  <si>
    <t>Peter Obi</t>
  </si>
  <si>
    <t>Alpha  Retailers</t>
  </si>
  <si>
    <t xml:space="preserve">mobile </t>
  </si>
  <si>
    <t xml:space="preserve"> Peter Obi </t>
  </si>
  <si>
    <t>Femi  Tech</t>
  </si>
  <si>
    <t xml:space="preserve"> laptop a15 	</t>
  </si>
  <si>
    <t>Peter Obi.</t>
  </si>
  <si>
    <t xml:space="preserve">Omega Wholesale </t>
  </si>
  <si>
    <t>Monitor  M24</t>
  </si>
  <si>
    <t xml:space="preserve">Peripherals  </t>
  </si>
  <si>
    <t>maryam  ltd</t>
  </si>
  <si>
    <t xml:space="preserve">Monitor  M24 </t>
  </si>
  <si>
    <t xml:space="preserve">Peripherals </t>
  </si>
  <si>
    <t xml:space="preserve"> Mary John </t>
  </si>
  <si>
    <t xml:space="preserve">TOPE  &amp; SONS </t>
  </si>
  <si>
    <t xml:space="preserve"> east </t>
  </si>
  <si>
    <t>CAMERA C100</t>
  </si>
  <si>
    <t>PHOTOGRAPHY</t>
  </si>
  <si>
    <t xml:space="preserve"> GRACE AMOS</t>
  </si>
  <si>
    <t xml:space="preserve">  North</t>
  </si>
  <si>
    <t xml:space="preserve"> PHONE X12 </t>
  </si>
  <si>
    <t>Mobile.</t>
  </si>
  <si>
    <t xml:space="preserve">  MARY JOHN </t>
  </si>
  <si>
    <t>Chkia  Mart</t>
  </si>
  <si>
    <t>unknown</t>
  </si>
  <si>
    <t xml:space="preserve"> Musa Enterprises </t>
  </si>
  <si>
    <t xml:space="preserve">NORTH  </t>
  </si>
  <si>
    <t xml:space="preserve"> mary john 	</t>
  </si>
  <si>
    <t>TOPE &amp; SONS</t>
  </si>
  <si>
    <t>SOUTH</t>
  </si>
  <si>
    <t xml:space="preserve">  PHONE X12 </t>
  </si>
  <si>
    <t xml:space="preserve">south </t>
  </si>
  <si>
    <t>LAPTOP A15</t>
  </si>
  <si>
    <t xml:space="preserve"> Mary John</t>
  </si>
  <si>
    <t xml:space="preserve">Chika  Mart </t>
  </si>
  <si>
    <t xml:space="preserve">  east</t>
  </si>
  <si>
    <t xml:space="preserve">SPEAKER  S10 </t>
  </si>
  <si>
    <t>Audio</t>
  </si>
  <si>
    <t xml:space="preserve">ifeanyi okafor </t>
  </si>
  <si>
    <t xml:space="preserve">west	</t>
  </si>
  <si>
    <t xml:space="preserve">Mary John </t>
  </si>
  <si>
    <t xml:space="preserve">KELVIN TECH </t>
  </si>
  <si>
    <t xml:space="preserve">  East</t>
  </si>
  <si>
    <t xml:space="preserve">Tablet  T8 </t>
  </si>
  <si>
    <t xml:space="preserve"> mobile,</t>
  </si>
  <si>
    <t>Fola  Balogun</t>
  </si>
  <si>
    <t xml:space="preserve">  ALPHA RETAILERS 	</t>
  </si>
  <si>
    <t xml:space="preserve"> west </t>
  </si>
  <si>
    <t>MARY JOHN</t>
  </si>
  <si>
    <t xml:space="preserve">  Chika Mart </t>
  </si>
  <si>
    <t xml:space="preserve">South  </t>
  </si>
  <si>
    <t>TV  43Q</t>
  </si>
  <si>
    <t>grace amos,</t>
  </si>
  <si>
    <t xml:space="preserve">Jide Superstores </t>
  </si>
  <si>
    <t xml:space="preserve"> mobile   </t>
  </si>
  <si>
    <t xml:space="preserve"> KELVIN TECH</t>
  </si>
  <si>
    <t>Speaker  S10</t>
  </si>
  <si>
    <t>audio</t>
  </si>
  <si>
    <t xml:space="preserve">  Aisha Bello </t>
  </si>
  <si>
    <t xml:space="preserve"> BRIGHT SOLUTIONS</t>
  </si>
  <si>
    <t xml:space="preserve"> West </t>
  </si>
  <si>
    <t>monitor  m24</t>
  </si>
  <si>
    <t xml:space="preserve"> PERIPHERALS</t>
  </si>
  <si>
    <t xml:space="preserve"> fola balogun</t>
  </si>
  <si>
    <t>Femi Tech</t>
  </si>
  <si>
    <t xml:space="preserve"> peripherals </t>
  </si>
  <si>
    <t xml:space="preserve">grace amos </t>
  </si>
  <si>
    <t>jide superstores</t>
  </si>
  <si>
    <t xml:space="preserve">  WEST</t>
  </si>
  <si>
    <t xml:space="preserve">  aisha bello ,</t>
  </si>
  <si>
    <t xml:space="preserve">  Kelvin Tech </t>
  </si>
  <si>
    <t xml:space="preserve"> FEMI TECH</t>
  </si>
  <si>
    <t>04-jna-2025</t>
  </si>
  <si>
    <t xml:space="preserve"> West</t>
  </si>
  <si>
    <t xml:space="preserve">tv  43q </t>
  </si>
  <si>
    <t>IFEANYI OKAFOR .</t>
  </si>
  <si>
    <t>JIDE SUPERSTORES ,</t>
  </si>
  <si>
    <t xml:space="preserve">north  </t>
  </si>
  <si>
    <t xml:space="preserve">phone x12 </t>
  </si>
  <si>
    <t>aisha  bello</t>
  </si>
  <si>
    <t xml:space="preserve"> adewales tores </t>
  </si>
  <si>
    <t xml:space="preserve">Tablet T8	</t>
  </si>
  <si>
    <t>MOBILE</t>
  </si>
  <si>
    <t>Chinedu  Nwosu,</t>
  </si>
  <si>
    <t xml:space="preserve">maryam ltd </t>
  </si>
  <si>
    <t xml:space="preserve">audio </t>
  </si>
  <si>
    <t>Kelvin  Tech</t>
  </si>
  <si>
    <t>05F-eb-2025</t>
  </si>
  <si>
    <t>Sout	h</t>
  </si>
  <si>
    <t>laptop  a15</t>
  </si>
  <si>
    <t xml:space="preserve">COMPUTERS   </t>
  </si>
  <si>
    <t xml:space="preserve"> aisha bello</t>
  </si>
  <si>
    <t>zainab global</t>
  </si>
  <si>
    <t>east</t>
  </si>
  <si>
    <t xml:space="preserve">  south</t>
  </si>
  <si>
    <t xml:space="preserve">  TABLET T8 </t>
  </si>
  <si>
    <t xml:space="preserve"> Mobile </t>
  </si>
  <si>
    <t xml:space="preserve">  aisha bello</t>
  </si>
  <si>
    <t>Emeka  Traders</t>
  </si>
  <si>
    <t xml:space="preserve">  south 	</t>
  </si>
  <si>
    <t>TV 43Q</t>
  </si>
  <si>
    <t>EELCTRONICS</t>
  </si>
  <si>
    <t xml:space="preserve">  CHINEDU NWOSU</t>
  </si>
  <si>
    <t>Tola  Ventures</t>
  </si>
  <si>
    <t xml:space="preserve"> EAST,</t>
  </si>
  <si>
    <t xml:space="preserve">  Laptop A15</t>
  </si>
  <si>
    <t xml:space="preserve">Computers  </t>
  </si>
  <si>
    <t xml:space="preserve">  chinedu nwosu </t>
  </si>
  <si>
    <t>CHIKA MART</t>
  </si>
  <si>
    <t>WES	T</t>
  </si>
  <si>
    <t>Aisha Bello ,</t>
  </si>
  <si>
    <t xml:space="preserve">SPEAKER S10	</t>
  </si>
  <si>
    <t>Fola Balogun</t>
  </si>
  <si>
    <t xml:space="preserve">  emeka traders</t>
  </si>
  <si>
    <t>West.</t>
  </si>
  <si>
    <t xml:space="preserve">  Chinedu Nwosu</t>
  </si>
  <si>
    <t xml:space="preserve"> Tola Ventuers </t>
  </si>
  <si>
    <t xml:space="preserve"> MOBILE</t>
  </si>
  <si>
    <t xml:space="preserve">Ifeanyi Okafor </t>
  </si>
  <si>
    <t>CAMERA C100,</t>
  </si>
  <si>
    <t>Photography,</t>
  </si>
  <si>
    <t xml:space="preserve">peter obi </t>
  </si>
  <si>
    <t>14-APR-2025.</t>
  </si>
  <si>
    <t xml:space="preserve"> Speaker S10</t>
  </si>
  <si>
    <t xml:space="preserve">AUDIO </t>
  </si>
  <si>
    <t xml:space="preserve">  chinedu nwosu</t>
  </si>
  <si>
    <t xml:space="preserve">Kelvin Tech </t>
  </si>
  <si>
    <t xml:space="preserve">Laptop A15 </t>
  </si>
  <si>
    <t xml:space="preserve"> COMPUTERS </t>
  </si>
  <si>
    <t xml:space="preserve">  Grace Amos .</t>
  </si>
  <si>
    <t>Chika Mart</t>
  </si>
  <si>
    <t xml:space="preserve">Chinedu Nwosu </t>
  </si>
  <si>
    <t xml:space="preserve"> TOLA VENTURES</t>
  </si>
  <si>
    <t xml:space="preserve"> south,</t>
  </si>
  <si>
    <t xml:space="preserve"> Tv 43Q </t>
  </si>
  <si>
    <t xml:space="preserve"> ELECTRONICS	</t>
  </si>
  <si>
    <t xml:space="preserve">Chinedu  Nwosu </t>
  </si>
  <si>
    <t xml:space="preserve">Omega  Wholesale </t>
  </si>
  <si>
    <t xml:space="preserve"> monitor m24</t>
  </si>
  <si>
    <t xml:space="preserve">PERIPHERALS </t>
  </si>
  <si>
    <t>PHONE  X12</t>
  </si>
  <si>
    <t>zianab  global ,</t>
  </si>
  <si>
    <t>Camer aC100</t>
  </si>
  <si>
    <t>AISHA BELLO</t>
  </si>
  <si>
    <t xml:space="preserve"> Jide Superstores   </t>
  </si>
  <si>
    <t xml:space="preserve">EAST  </t>
  </si>
  <si>
    <t xml:space="preserve">audio  </t>
  </si>
  <si>
    <t>GRACE AMOS</t>
  </si>
  <si>
    <t xml:space="preserve">Adewale  Stores  </t>
  </si>
  <si>
    <t xml:space="preserve"> NORTH</t>
  </si>
  <si>
    <t>tv 43q</t>
  </si>
  <si>
    <t xml:space="preserve">  Electronics </t>
  </si>
  <si>
    <t xml:space="preserve">  emeka tarders</t>
  </si>
  <si>
    <t>Norht</t>
  </si>
  <si>
    <t xml:space="preserve">  tv 43q</t>
  </si>
  <si>
    <t xml:space="preserve">  fola balogun</t>
  </si>
  <si>
    <t>Emeka Tradesr</t>
  </si>
  <si>
    <t xml:space="preserve">Tv 43Q  </t>
  </si>
  <si>
    <t xml:space="preserve"> ELECTRONICS </t>
  </si>
  <si>
    <t>ifeanyi  okafor</t>
  </si>
  <si>
    <t xml:space="preserve"> SOUTH </t>
  </si>
  <si>
    <t>SPEAKER S10</t>
  </si>
  <si>
    <t xml:space="preserve">  Audio </t>
  </si>
  <si>
    <t xml:space="preserve">aisha bello   </t>
  </si>
  <si>
    <t xml:space="preserve">  EAST</t>
  </si>
  <si>
    <t>TABLET  T8</t>
  </si>
  <si>
    <t>Mobile .</t>
  </si>
  <si>
    <t xml:space="preserve"> FOLA BALOGUN  </t>
  </si>
  <si>
    <t xml:space="preserve"> Musa Enterprises</t>
  </si>
  <si>
    <t xml:space="preserve"> South</t>
  </si>
  <si>
    <t>monitor m24,</t>
  </si>
  <si>
    <t xml:space="preserve"> Peripherals</t>
  </si>
  <si>
    <t xml:space="preserve">Grace Amos </t>
  </si>
  <si>
    <t>femi tech</t>
  </si>
  <si>
    <t xml:space="preserve"> adewale stores </t>
  </si>
  <si>
    <t xml:space="preserve"> COMPUTERS</t>
  </si>
  <si>
    <t xml:space="preserve"> Chinedu Nwosu </t>
  </si>
  <si>
    <t>MONITOR  M24</t>
  </si>
  <si>
    <t xml:space="preserve">Perpiherals  </t>
  </si>
  <si>
    <t xml:space="preserve"> North </t>
  </si>
  <si>
    <t xml:space="preserve">laptop a15 </t>
  </si>
  <si>
    <t xml:space="preserve"> Comupters</t>
  </si>
  <si>
    <t xml:space="preserve"> AISHA BELLO </t>
  </si>
  <si>
    <t xml:space="preserve">OMEGA WHOLESALE </t>
  </si>
  <si>
    <t xml:space="preserve">Aisha Bello </t>
  </si>
  <si>
    <t>08-pAr-2025</t>
  </si>
  <si>
    <t xml:space="preserve">Alpha Retailers </t>
  </si>
  <si>
    <t xml:space="preserve"> Laptop A15</t>
  </si>
  <si>
    <t>Omega  Wholesale</t>
  </si>
  <si>
    <t>09-aMr-2025</t>
  </si>
  <si>
    <t xml:space="preserve">Laptop  A15 	</t>
  </si>
  <si>
    <t xml:space="preserve">  Computers </t>
  </si>
  <si>
    <t xml:space="preserve">IFEANYI O KAFOR 	</t>
  </si>
  <si>
    <t>femi  tech ,</t>
  </si>
  <si>
    <t xml:space="preserve">  west</t>
  </si>
  <si>
    <t xml:space="preserve">Speaker  S10 </t>
  </si>
  <si>
    <t>AUDIO</t>
  </si>
  <si>
    <t xml:space="preserve"> fola balogun,</t>
  </si>
  <si>
    <t>FEMI  TECH</t>
  </si>
  <si>
    <t>EAST ,</t>
  </si>
  <si>
    <t xml:space="preserve">Laptop A15  </t>
  </si>
  <si>
    <t xml:space="preserve"> COMPUTRES</t>
  </si>
  <si>
    <t>Mary  John</t>
  </si>
  <si>
    <t xml:space="preserve">TOEP &amp; SONS </t>
  </si>
  <si>
    <t xml:space="preserve">East </t>
  </si>
  <si>
    <t>Camera C100,</t>
  </si>
  <si>
    <t>Mary John</t>
  </si>
  <si>
    <t xml:space="preserve"> Kelvin Tech</t>
  </si>
  <si>
    <t xml:space="preserve">GRACE AMOS   </t>
  </si>
  <si>
    <t xml:space="preserve"> MUSA ENTERPRISES </t>
  </si>
  <si>
    <t xml:space="preserve">Camera C100   </t>
  </si>
  <si>
    <t xml:space="preserve">  Photography</t>
  </si>
  <si>
    <t xml:space="preserve"> MARY JOHN .</t>
  </si>
  <si>
    <t xml:space="preserve">Bright Solutions  </t>
  </si>
  <si>
    <t xml:space="preserve">  South</t>
  </si>
  <si>
    <t>audio .</t>
  </si>
  <si>
    <t xml:space="preserve">  Peter Obi</t>
  </si>
  <si>
    <t xml:space="preserve"> TOLA VENTURES </t>
  </si>
  <si>
    <t xml:space="preserve">north	</t>
  </si>
  <si>
    <t xml:space="preserve">camera  c100 </t>
  </si>
  <si>
    <t xml:space="preserve">Photography  </t>
  </si>
  <si>
    <t xml:space="preserve"> IFEANYI OKAFOR </t>
  </si>
  <si>
    <t xml:space="preserve">  emeka traders </t>
  </si>
  <si>
    <t xml:space="preserve"> peter obi </t>
  </si>
  <si>
    <t>femi  tech</t>
  </si>
  <si>
    <t xml:space="preserve"> WEST</t>
  </si>
  <si>
    <t xml:space="preserve">TABLET T8 </t>
  </si>
  <si>
    <t xml:space="preserve"> Mobile  </t>
  </si>
  <si>
    <t xml:space="preserve">grace amos	</t>
  </si>
  <si>
    <t>ALPHA RETAILERS</t>
  </si>
  <si>
    <t>Capstone project</t>
  </si>
  <si>
    <t>Praise Odunayo</t>
  </si>
  <si>
    <t>Aba Joel</t>
  </si>
  <si>
    <t>Job Austin</t>
  </si>
  <si>
    <t>1-9mar-2025</t>
  </si>
  <si>
    <t>24-amr-2025</t>
  </si>
  <si>
    <t>04A-pr-2025</t>
  </si>
  <si>
    <t>27-MAY-0225</t>
  </si>
  <si>
    <t>27-Ju-n2025</t>
  </si>
  <si>
    <t>DATE</t>
  </si>
  <si>
    <t>substitute date</t>
  </si>
  <si>
    <t>Inconsistent date</t>
  </si>
  <si>
    <t>region 2</t>
  </si>
  <si>
    <t>REGION</t>
  </si>
  <si>
    <t>Region1</t>
  </si>
  <si>
    <t>M Product</t>
  </si>
  <si>
    <t>PRODUCT</t>
  </si>
  <si>
    <t>MONITOR M24</t>
  </si>
  <si>
    <t>Speaker S10</t>
  </si>
  <si>
    <t>CATEGORY</t>
  </si>
  <si>
    <t>M Category</t>
  </si>
  <si>
    <t>COMPUTERS</t>
  </si>
  <si>
    <t>M Sales Rep</t>
  </si>
  <si>
    <t>M2 SALES REP.</t>
  </si>
  <si>
    <t>FOLA BALOGUN</t>
  </si>
  <si>
    <t>ABA JOEL</t>
  </si>
  <si>
    <t>CHINEDU NWOSU</t>
  </si>
  <si>
    <t>JOB AUSTIN</t>
  </si>
  <si>
    <t>PETER OBI</t>
  </si>
  <si>
    <t>PRAISE ODUNAYO</t>
  </si>
  <si>
    <t>M Customer</t>
  </si>
  <si>
    <t>CUSTOMER</t>
  </si>
  <si>
    <t>ADEWALES STORES</t>
  </si>
  <si>
    <t>EMEKA TRADERS</t>
  </si>
  <si>
    <t>FEMI TECH</t>
  </si>
  <si>
    <t>JIDE SUPERSTORES</t>
  </si>
  <si>
    <t>KELVIN TECH</t>
  </si>
  <si>
    <t>MARYAM LTD</t>
  </si>
  <si>
    <t>OMEGA WHOLESALE</t>
  </si>
  <si>
    <t>TOLA VENTURES</t>
  </si>
  <si>
    <t>ZAINAB GLOBAL</t>
  </si>
  <si>
    <t>SALES REP</t>
  </si>
  <si>
    <t>UNIT PRICE</t>
  </si>
  <si>
    <t>UNIT SOLD</t>
  </si>
  <si>
    <t>TOTAL REVENUE</t>
  </si>
  <si>
    <t>Sum of TOTAL REVENUE</t>
  </si>
  <si>
    <t>Max of TOTAL REVENUE</t>
  </si>
  <si>
    <t>Min of TOTAL REVENUE</t>
  </si>
  <si>
    <t>Average of TOTAL REVENUE</t>
  </si>
  <si>
    <t>Row Labels</t>
  </si>
  <si>
    <t>Grand Total</t>
  </si>
  <si>
    <t>TOTAL REVENUE BY REGION</t>
  </si>
  <si>
    <t>Sum of UNIT SOLD</t>
  </si>
  <si>
    <t>TOTAL UNIT SOLD BY REGION</t>
  </si>
  <si>
    <t>TOTAL REVENUE BY CATEGORY</t>
  </si>
  <si>
    <t>(All)</t>
  </si>
  <si>
    <t>TOTAL REVENUE BY SALES REP BY REGION</t>
  </si>
  <si>
    <t>TOTAL REVENUE BY PRODUCT BY REGION</t>
  </si>
  <si>
    <t>TOTAL REVENUE BY PRODUCT BY UNIT SOLD</t>
  </si>
  <si>
    <t>TOTAL SOLD PRODUCT BY SALES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</si>
</sst>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6"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43" fontId="4" fillId="0" borderId="0" applyFont="0" applyFill="0" applyBorder="0" applyAlignment="0" applyProtection="0"/>
  </cellStyleXfs>
  <cellXfs count="29">
    <xf numFmtId="0" fontId="0" fillId="0" borderId="0" xfId="0"/>
    <xf numFmtId="0" fontId="0" fillId="0" borderId="1" xfId="0" applyBorder="1"/>
    <xf numFmtId="0" fontId="0" fillId="3" borderId="0" xfId="0" applyFill="1"/>
    <xf numFmtId="0" fontId="2" fillId="3" borderId="2" xfId="0" applyFont="1" applyFill="1" applyBorder="1"/>
    <xf numFmtId="0" fontId="3" fillId="3" borderId="2" xfId="0" applyFont="1" applyFill="1" applyBorder="1"/>
    <xf numFmtId="0" fontId="0" fillId="0" borderId="4" xfId="0" applyBorder="1"/>
    <xf numFmtId="0" fontId="1" fillId="2" borderId="6" xfId="0" applyFont="1" applyFill="1" applyBorder="1" applyAlignment="1">
      <alignment horizontal="center" vertical="top"/>
    </xf>
    <xf numFmtId="0" fontId="1" fillId="2" borderId="7" xfId="0" applyFont="1" applyFill="1" applyBorder="1" applyAlignment="1">
      <alignment horizontal="center" vertical="top"/>
    </xf>
    <xf numFmtId="0" fontId="0" fillId="0" borderId="9" xfId="0" applyBorder="1"/>
    <xf numFmtId="0" fontId="0" fillId="0" borderId="10" xfId="0" applyBorder="1"/>
    <xf numFmtId="14" fontId="1" fillId="2" borderId="5" xfId="0" applyNumberFormat="1" applyFont="1" applyFill="1" applyBorder="1" applyAlignment="1">
      <alignment horizontal="center" vertical="top"/>
    </xf>
    <xf numFmtId="14" fontId="0" fillId="0" borderId="3" xfId="0" applyNumberFormat="1" applyBorder="1"/>
    <xf numFmtId="14" fontId="0" fillId="0" borderId="8" xfId="0" applyNumberFormat="1" applyBorder="1"/>
    <xf numFmtId="14" fontId="0" fillId="0" borderId="0" xfId="0" applyNumberFormat="1"/>
    <xf numFmtId="164" fontId="1" fillId="2" borderId="5" xfId="0" applyNumberFormat="1" applyFont="1" applyFill="1" applyBorder="1" applyAlignment="1">
      <alignment horizontal="center" vertical="top"/>
    </xf>
    <xf numFmtId="164" fontId="0" fillId="0" borderId="3" xfId="0" applyNumberFormat="1" applyBorder="1"/>
    <xf numFmtId="164" fontId="0" fillId="0" borderId="8" xfId="0" applyNumberFormat="1" applyBorder="1"/>
    <xf numFmtId="164" fontId="0" fillId="0" borderId="0" xfId="0" applyNumberFormat="1"/>
    <xf numFmtId="43" fontId="1" fillId="2" borderId="7" xfId="1" applyFont="1" applyFill="1" applyBorder="1" applyAlignment="1">
      <alignment horizontal="center" vertical="top"/>
    </xf>
    <xf numFmtId="43" fontId="0" fillId="0" borderId="4" xfId="1" applyFont="1" applyBorder="1"/>
    <xf numFmtId="43" fontId="0" fillId="0" borderId="10" xfId="1" applyFont="1" applyBorder="1"/>
    <xf numFmtId="43" fontId="0" fillId="0" borderId="0" xfId="1" applyFont="1"/>
    <xf numFmtId="43" fontId="1" fillId="2" borderId="6" xfId="1" applyFont="1" applyFill="1" applyBorder="1" applyAlignment="1">
      <alignment horizontal="center" vertical="top"/>
    </xf>
    <xf numFmtId="43" fontId="0" fillId="0" borderId="1" xfId="1" applyFont="1" applyBorder="1"/>
    <xf numFmtId="43" fontId="0" fillId="0" borderId="9" xfId="1" applyFont="1" applyBorder="1"/>
    <xf numFmtId="0" fontId="0" fillId="0" borderId="0" xfId="0" pivotButton="1"/>
    <xf numFmtId="43" fontId="0" fillId="0" borderId="0" xfId="0" applyNumberFormat="1"/>
    <xf numFmtId="0" fontId="0" fillId="0" borderId="0" xfId="0" applyAlignment="1">
      <alignment horizontal="left"/>
    </xf>
    <xf numFmtId="0" fontId="5" fillId="0" borderId="0" xfId="0" applyFont="1"/>
  </cellXfs>
  <cellStyles count="2">
    <cellStyle name="Comma" xfId="1" builtinId="3"/>
    <cellStyle name="Normal" xfId="0" builtinId="0"/>
  </cellStyles>
  <dxfs count="57">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border diagonalUp="0" diagonalDown="0">
        <left style="thin">
          <color auto="1"/>
        </left>
        <right/>
        <top style="thin">
          <color auto="1"/>
        </top>
        <bottom style="thin">
          <color auto="1"/>
        </bottom>
        <vertical/>
        <horizontal/>
      </border>
    </dxf>
    <dxf>
      <border diagonalUp="0" diagonalDown="0">
        <left style="thin">
          <color auto="1"/>
        </left>
        <right/>
        <top style="thin">
          <color auto="1"/>
        </top>
        <bottom style="thin">
          <color auto="1"/>
        </bottom>
        <vertical/>
        <horizontal/>
      </border>
    </dxf>
    <dxf>
      <numFmt numFmtId="0" formatCode="General"/>
      <border diagonalUp="0" diagonalDown="0" outline="0">
        <left/>
        <right/>
        <top style="thin">
          <color auto="1"/>
        </top>
        <bottom style="thin">
          <color auto="1"/>
        </bottom>
      </border>
    </dxf>
    <dxf>
      <border diagonalUp="0" diagonalDown="0">
        <left style="thin">
          <color auto="1"/>
        </left>
        <right/>
        <top style="thin">
          <color auto="1"/>
        </top>
        <bottom style="thin">
          <color auto="1"/>
        </bottom>
      </border>
    </dxf>
    <dxf>
      <numFmt numFmtId="0" formatCode="General"/>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19" formatCode="m/d/yyyy"/>
      <border diagonalUp="0" diagonalDown="0">
        <left/>
        <right style="thin">
          <color auto="1"/>
        </right>
        <top style="thin">
          <color auto="1"/>
        </top>
        <bottom style="thin">
          <color auto="1"/>
        </bottom>
        <vertical/>
        <horizontal/>
      </border>
    </dxf>
    <dxf>
      <numFmt numFmtId="164" formatCode="yyyy\-mm\-dd;@"/>
      <border diagonalUp="0" diagonalDown="0">
        <left/>
        <right style="thin">
          <color auto="1"/>
        </right>
        <top style="thin">
          <color auto="1"/>
        </top>
        <bottom style="thin">
          <color auto="1"/>
        </bottom>
        <vertical/>
        <horizontal/>
      </border>
    </dxf>
    <dxf>
      <numFmt numFmtId="164" formatCode="yyyy\-mm\-dd;@"/>
      <border diagonalUp="0" diagonalDown="0"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5CB0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 (1).xlsx]PIVOT!PivotTable2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w="25400" cap="flat" cmpd="sng" algn="ctr">
            <a:solidFill>
              <a:schemeClr val="accent5">
                <a:shade val="50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25400" cap="flat" cmpd="sng" algn="ctr">
            <a:solidFill>
              <a:schemeClr val="accent5">
                <a:shade val="50000"/>
              </a:schemeClr>
            </a:solidFill>
            <a:prstDash val="solid"/>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499699583671"/>
                  <c:h val="9.347395167082688E-2"/>
                </c:manualLayout>
              </c15:layout>
            </c:ext>
          </c:extLst>
        </c:dLbl>
      </c:pivotFmt>
    </c:pivotFmts>
    <c:plotArea>
      <c:layout/>
      <c:barChart>
        <c:barDir val="col"/>
        <c:grouping val="clustered"/>
        <c:varyColors val="0"/>
        <c:ser>
          <c:idx val="0"/>
          <c:order val="0"/>
          <c:tx>
            <c:strRef>
              <c:f>PIVOT!$B$7</c:f>
              <c:strCache>
                <c:ptCount val="1"/>
                <c:pt idx="0">
                  <c:v>Total</c:v>
                </c:pt>
              </c:strCache>
            </c:strRef>
          </c:tx>
          <c:spPr>
            <a:solidFill>
              <a:schemeClr val="accent5"/>
            </a:solidFill>
            <a:ln w="25400" cap="flat" cmpd="sng" algn="ctr">
              <a:solidFill>
                <a:schemeClr val="accent5">
                  <a:shade val="50000"/>
                </a:schemeClr>
              </a:solidFill>
              <a:prstDash val="solid"/>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40499699583671"/>
                      <c:h val="9.347395167082688E-2"/>
                    </c:manualLayout>
                  </c15:layout>
                </c:ext>
                <c:ext xmlns:c16="http://schemas.microsoft.com/office/drawing/2014/chart" uri="{C3380CC4-5D6E-409C-BE32-E72D297353CC}">
                  <c16:uniqueId val="{00000001-B096-4108-A7A3-E71E0C1CB5D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West</c:v>
                </c:pt>
                <c:pt idx="1">
                  <c:v>East</c:v>
                </c:pt>
                <c:pt idx="2">
                  <c:v>South</c:v>
                </c:pt>
                <c:pt idx="3">
                  <c:v>North</c:v>
                </c:pt>
              </c:strCache>
            </c:strRef>
          </c:cat>
          <c:val>
            <c:numRef>
              <c:f>PIVOT!$B$8:$B$12</c:f>
              <c:numCache>
                <c:formatCode>_(* #,##0.00_);_(* \(#,##0.00\);_(* "-"??_);_(@_)</c:formatCode>
                <c:ptCount val="4"/>
                <c:pt idx="0">
                  <c:v>113742487</c:v>
                </c:pt>
                <c:pt idx="1">
                  <c:v>79518498</c:v>
                </c:pt>
                <c:pt idx="2">
                  <c:v>64154460</c:v>
                </c:pt>
                <c:pt idx="3">
                  <c:v>45265000</c:v>
                </c:pt>
              </c:numCache>
            </c:numRef>
          </c:val>
          <c:extLst>
            <c:ext xmlns:c16="http://schemas.microsoft.com/office/drawing/2014/chart" uri="{C3380CC4-5D6E-409C-BE32-E72D297353CC}">
              <c16:uniqueId val="{00000000-B096-4108-A7A3-E71E0C1CB5DD}"/>
            </c:ext>
          </c:extLst>
        </c:ser>
        <c:dLbls>
          <c:dLblPos val="outEnd"/>
          <c:showLegendKey val="0"/>
          <c:showVal val="1"/>
          <c:showCatName val="0"/>
          <c:showSerName val="0"/>
          <c:showPercent val="0"/>
          <c:showBubbleSize val="0"/>
        </c:dLbls>
        <c:gapWidth val="219"/>
        <c:overlap val="-27"/>
        <c:axId val="915914928"/>
        <c:axId val="900463840"/>
      </c:barChart>
      <c:catAx>
        <c:axId val="915914928"/>
        <c:scaling>
          <c:orientation val="minMax"/>
        </c:scaling>
        <c:delete val="1"/>
        <c:axPos val="b"/>
        <c:numFmt formatCode="General" sourceLinked="1"/>
        <c:majorTickMark val="out"/>
        <c:minorTickMark val="none"/>
        <c:tickLblPos val="nextTo"/>
        <c:crossAx val="900463840"/>
        <c:crosses val="autoZero"/>
        <c:auto val="1"/>
        <c:lblAlgn val="ctr"/>
        <c:lblOffset val="100"/>
        <c:noMultiLvlLbl val="0"/>
      </c:catAx>
      <c:valAx>
        <c:axId val="900463840"/>
        <c:scaling>
          <c:orientation val="minMax"/>
        </c:scaling>
        <c:delete val="1"/>
        <c:axPos val="l"/>
        <c:numFmt formatCode="_(* #,##0.00_);_(* \(#,##0.00\);_(* &quot;-&quot;??_);_(@_)" sourceLinked="1"/>
        <c:majorTickMark val="out"/>
        <c:minorTickMark val="none"/>
        <c:tickLblPos val="nextTo"/>
        <c:crossAx val="915914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 (1).xlsx]PIVOT!PivotTable8</c:name>
    <c:fmtId val="2"/>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5"/>
          </a:solidFill>
          <a:ln w="25400" cap="flat" cmpd="sng" algn="ctr">
            <a:solidFill>
              <a:schemeClr val="accent5">
                <a:shade val="50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PIVOT!$B$16</c:f>
              <c:strCache>
                <c:ptCount val="1"/>
                <c:pt idx="0">
                  <c:v>Total</c:v>
                </c:pt>
              </c:strCache>
            </c:strRef>
          </c:tx>
          <c:spPr>
            <a:solidFill>
              <a:schemeClr val="accent5"/>
            </a:solidFill>
            <a:ln w="25400" cap="flat" cmpd="sng" algn="ctr">
              <a:solidFill>
                <a:schemeClr val="accent5">
                  <a:shade val="50000"/>
                </a:schemeClr>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PIVOT!$A$17:$A$22</c:f>
              <c:strCache>
                <c:ptCount val="5"/>
                <c:pt idx="0">
                  <c:v>COMPUTERS</c:v>
                </c:pt>
                <c:pt idx="1">
                  <c:v>ELECTRONICS</c:v>
                </c:pt>
                <c:pt idx="2">
                  <c:v>MOBILE</c:v>
                </c:pt>
                <c:pt idx="3">
                  <c:v>PHOTOGRAPHY</c:v>
                </c:pt>
                <c:pt idx="4">
                  <c:v>AUDIO</c:v>
                </c:pt>
              </c:strCache>
            </c:strRef>
          </c:cat>
          <c:val>
            <c:numRef>
              <c:f>PIVOT!$B$17:$B$22</c:f>
              <c:numCache>
                <c:formatCode>_(* #,##0.00_);_(* \(#,##0.00\);_(* "-"??_);_(@_)</c:formatCode>
                <c:ptCount val="5"/>
                <c:pt idx="0">
                  <c:v>114375000</c:v>
                </c:pt>
                <c:pt idx="1">
                  <c:v>83689500</c:v>
                </c:pt>
                <c:pt idx="2">
                  <c:v>48231113</c:v>
                </c:pt>
                <c:pt idx="3">
                  <c:v>47430201</c:v>
                </c:pt>
                <c:pt idx="4">
                  <c:v>8954631</c:v>
                </c:pt>
              </c:numCache>
            </c:numRef>
          </c:val>
          <c:extLst>
            <c:ext xmlns:c16="http://schemas.microsoft.com/office/drawing/2014/chart" uri="{C3380CC4-5D6E-409C-BE32-E72D297353CC}">
              <c16:uniqueId val="{00000000-57A5-4F8A-A23F-2F4EA2D910EC}"/>
            </c:ext>
          </c:extLst>
        </c:ser>
        <c:dLbls>
          <c:dLblPos val="outEnd"/>
          <c:showLegendKey val="0"/>
          <c:showVal val="1"/>
          <c:showCatName val="0"/>
          <c:showSerName val="0"/>
          <c:showPercent val="0"/>
          <c:showBubbleSize val="0"/>
        </c:dLbls>
        <c:gapWidth val="182"/>
        <c:axId val="1120866784"/>
        <c:axId val="900470496"/>
      </c:barChart>
      <c:catAx>
        <c:axId val="1120866784"/>
        <c:scaling>
          <c:orientation val="minMax"/>
        </c:scaling>
        <c:delete val="1"/>
        <c:axPos val="l"/>
        <c:numFmt formatCode="General" sourceLinked="1"/>
        <c:majorTickMark val="none"/>
        <c:minorTickMark val="none"/>
        <c:tickLblPos val="nextTo"/>
        <c:crossAx val="900470496"/>
        <c:crosses val="autoZero"/>
        <c:auto val="1"/>
        <c:lblAlgn val="ctr"/>
        <c:lblOffset val="100"/>
        <c:noMultiLvlLbl val="0"/>
      </c:catAx>
      <c:valAx>
        <c:axId val="900470496"/>
        <c:scaling>
          <c:orientation val="minMax"/>
        </c:scaling>
        <c:delete val="1"/>
        <c:axPos val="b"/>
        <c:numFmt formatCode="_(* #,##0.00_);_(* \(#,##0.00\);_(* &quot;-&quot;??_);_(@_)" sourceLinked="1"/>
        <c:majorTickMark val="none"/>
        <c:minorTickMark val="none"/>
        <c:tickLblPos val="nextTo"/>
        <c:crossAx val="1120866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 (1).xlsx]PIVOT!PivotTable10</c:name>
    <c:fmtId val="2"/>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5400" cap="flat" cmpd="sng" algn="ctr">
            <a:solidFill>
              <a:schemeClr val="accent5">
                <a:shade val="50000"/>
              </a:schemeClr>
            </a:solidFill>
            <a:prstDash val="solid"/>
            <a:round/>
          </a:ln>
          <a:effectLst/>
        </c:spPr>
        <c:marker>
          <c:symbol val="none"/>
        </c:marker>
      </c:pivotFmt>
    </c:pivotFmts>
    <c:plotArea>
      <c:layout/>
      <c:lineChart>
        <c:grouping val="standard"/>
        <c:varyColors val="0"/>
        <c:ser>
          <c:idx val="0"/>
          <c:order val="0"/>
          <c:tx>
            <c:strRef>
              <c:f>PIVOT!$F$16</c:f>
              <c:strCache>
                <c:ptCount val="1"/>
                <c:pt idx="0">
                  <c:v>Total</c:v>
                </c:pt>
              </c:strCache>
            </c:strRef>
          </c:tx>
          <c:spPr>
            <a:ln w="25400" cap="flat" cmpd="sng" algn="ctr">
              <a:solidFill>
                <a:schemeClr val="accent5">
                  <a:shade val="50000"/>
                </a:schemeClr>
              </a:solidFill>
              <a:prstDash val="solid"/>
              <a:round/>
            </a:ln>
            <a:effectLst/>
          </c:spPr>
          <c:marker>
            <c:symbol val="none"/>
          </c:marker>
          <c:trendline>
            <c:spPr>
              <a:ln w="19050" cap="rnd">
                <a:solidFill>
                  <a:schemeClr val="accent1"/>
                </a:solidFill>
                <a:prstDash val="sysDot"/>
              </a:ln>
              <a:effectLst/>
            </c:spPr>
            <c:trendlineType val="linear"/>
            <c:dispRSqr val="0"/>
            <c:dispEq val="0"/>
          </c:trendline>
          <c:cat>
            <c:strRef>
              <c:f>PIVOT!$E$17:$E$25</c:f>
              <c:strCache>
                <c:ptCount val="8"/>
                <c:pt idx="0">
                  <c:v>LAPTOP A15</c:v>
                </c:pt>
                <c:pt idx="1">
                  <c:v>TV 43Q</c:v>
                </c:pt>
                <c:pt idx="2">
                  <c:v>Tablet T8</c:v>
                </c:pt>
                <c:pt idx="3">
                  <c:v>CAMERA C100</c:v>
                </c:pt>
                <c:pt idx="4">
                  <c:v>MONITOR M24</c:v>
                </c:pt>
                <c:pt idx="5">
                  <c:v>PHONE X12</c:v>
                </c:pt>
                <c:pt idx="6">
                  <c:v>Speaker S10</c:v>
                </c:pt>
                <c:pt idx="7">
                  <c:v>unknown</c:v>
                </c:pt>
              </c:strCache>
            </c:strRef>
          </c:cat>
          <c:val>
            <c:numRef>
              <c:f>PIVOT!$F$17:$F$25</c:f>
              <c:numCache>
                <c:formatCode>_(* #,##0.00_);_(* \(#,##0.00\);_(* "-"??_);_(@_)</c:formatCode>
                <c:ptCount val="8"/>
                <c:pt idx="0">
                  <c:v>134375000</c:v>
                </c:pt>
                <c:pt idx="1">
                  <c:v>63689500</c:v>
                </c:pt>
                <c:pt idx="2">
                  <c:v>33900000</c:v>
                </c:pt>
                <c:pt idx="3">
                  <c:v>25550000</c:v>
                </c:pt>
                <c:pt idx="4">
                  <c:v>21230201</c:v>
                </c:pt>
                <c:pt idx="5">
                  <c:v>14331113</c:v>
                </c:pt>
                <c:pt idx="6">
                  <c:v>8954631</c:v>
                </c:pt>
                <c:pt idx="7">
                  <c:v>650000</c:v>
                </c:pt>
              </c:numCache>
            </c:numRef>
          </c:val>
          <c:smooth val="0"/>
          <c:extLst>
            <c:ext xmlns:c16="http://schemas.microsoft.com/office/drawing/2014/chart" uri="{C3380CC4-5D6E-409C-BE32-E72D297353CC}">
              <c16:uniqueId val="{00000001-EF28-425F-9AB9-9BA056C7A57C}"/>
            </c:ext>
          </c:extLst>
        </c:ser>
        <c:dLbls>
          <c:showLegendKey val="0"/>
          <c:showVal val="0"/>
          <c:showCatName val="0"/>
          <c:showSerName val="0"/>
          <c:showPercent val="0"/>
          <c:showBubbleSize val="0"/>
        </c:dLbls>
        <c:smooth val="0"/>
        <c:axId val="1120863584"/>
        <c:axId val="1126520912"/>
      </c:lineChart>
      <c:catAx>
        <c:axId val="11208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6520912"/>
        <c:crosses val="autoZero"/>
        <c:auto val="1"/>
        <c:lblAlgn val="ctr"/>
        <c:lblOffset val="100"/>
        <c:noMultiLvlLbl val="0"/>
      </c:catAx>
      <c:valAx>
        <c:axId val="1126520912"/>
        <c:scaling>
          <c:orientation val="minMax"/>
        </c:scaling>
        <c:delete val="1"/>
        <c:axPos val="l"/>
        <c:numFmt formatCode="_(* #,##0.00_);_(* \(#,##0.00\);_(* &quot;-&quot;??_);_(@_)" sourceLinked="1"/>
        <c:majorTickMark val="none"/>
        <c:minorTickMark val="none"/>
        <c:tickLblPos val="nextTo"/>
        <c:crossAx val="1120863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 (1).xlsx]PIVOT!PivotTable8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PIVOT!$B$16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800-4D21-9E36-942E0DF9FF5E}"/>
              </c:ext>
            </c:extLst>
          </c:dPt>
          <c:dPt>
            <c:idx val="1"/>
            <c:bubble3D val="0"/>
            <c:spPr>
              <a:solidFill>
                <a:schemeClr val="accent2"/>
              </a:solidFill>
              <a:ln>
                <a:noFill/>
              </a:ln>
              <a:effectLst/>
            </c:spPr>
            <c:extLst>
              <c:ext xmlns:c16="http://schemas.microsoft.com/office/drawing/2014/chart" uri="{C3380CC4-5D6E-409C-BE32-E72D297353CC}">
                <c16:uniqueId val="{00000003-E800-4D21-9E36-942E0DF9FF5E}"/>
              </c:ext>
            </c:extLst>
          </c:dPt>
          <c:dPt>
            <c:idx val="2"/>
            <c:bubble3D val="0"/>
            <c:spPr>
              <a:solidFill>
                <a:schemeClr val="accent3"/>
              </a:solidFill>
              <a:ln>
                <a:noFill/>
              </a:ln>
              <a:effectLst/>
            </c:spPr>
            <c:extLst>
              <c:ext xmlns:c16="http://schemas.microsoft.com/office/drawing/2014/chart" uri="{C3380CC4-5D6E-409C-BE32-E72D297353CC}">
                <c16:uniqueId val="{00000005-E800-4D21-9E36-942E0DF9FF5E}"/>
              </c:ext>
            </c:extLst>
          </c:dPt>
          <c:dPt>
            <c:idx val="3"/>
            <c:bubble3D val="0"/>
            <c:spPr>
              <a:solidFill>
                <a:schemeClr val="accent4"/>
              </a:solidFill>
              <a:ln>
                <a:noFill/>
              </a:ln>
              <a:effectLst/>
            </c:spPr>
            <c:extLst>
              <c:ext xmlns:c16="http://schemas.microsoft.com/office/drawing/2014/chart" uri="{C3380CC4-5D6E-409C-BE32-E72D297353CC}">
                <c16:uniqueId val="{00000007-E800-4D21-9E36-942E0DF9FF5E}"/>
              </c:ext>
            </c:extLst>
          </c:dPt>
          <c:dPt>
            <c:idx val="4"/>
            <c:bubble3D val="0"/>
            <c:spPr>
              <a:solidFill>
                <a:schemeClr val="accent5"/>
              </a:solidFill>
              <a:ln>
                <a:noFill/>
              </a:ln>
              <a:effectLst/>
            </c:spPr>
            <c:extLst>
              <c:ext xmlns:c16="http://schemas.microsoft.com/office/drawing/2014/chart" uri="{C3380CC4-5D6E-409C-BE32-E72D297353CC}">
                <c16:uniqueId val="{00000009-E800-4D21-9E36-942E0DF9FF5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PIVOT!$A$17:$A$22</c:f>
              <c:strCache>
                <c:ptCount val="5"/>
                <c:pt idx="0">
                  <c:v>COMPUTERS</c:v>
                </c:pt>
                <c:pt idx="1">
                  <c:v>ELECTRONICS</c:v>
                </c:pt>
                <c:pt idx="2">
                  <c:v>MOBILE</c:v>
                </c:pt>
                <c:pt idx="3">
                  <c:v>PHOTOGRAPHY</c:v>
                </c:pt>
                <c:pt idx="4">
                  <c:v>AUDIO</c:v>
                </c:pt>
              </c:strCache>
            </c:strRef>
          </c:cat>
          <c:val>
            <c:numRef>
              <c:f>PIVOT!$B$17:$B$22</c:f>
              <c:numCache>
                <c:formatCode>_(* #,##0.00_);_(* \(#,##0.00\);_(* "-"??_);_(@_)</c:formatCode>
                <c:ptCount val="5"/>
                <c:pt idx="0">
                  <c:v>114375000</c:v>
                </c:pt>
                <c:pt idx="1">
                  <c:v>83689500</c:v>
                </c:pt>
                <c:pt idx="2">
                  <c:v>48231113</c:v>
                </c:pt>
                <c:pt idx="3">
                  <c:v>47430201</c:v>
                </c:pt>
                <c:pt idx="4">
                  <c:v>8954631</c:v>
                </c:pt>
              </c:numCache>
            </c:numRef>
          </c:val>
          <c:extLst>
            <c:ext xmlns:c16="http://schemas.microsoft.com/office/drawing/2014/chart" uri="{C3380CC4-5D6E-409C-BE32-E72D297353CC}">
              <c16:uniqueId val="{0000000A-E800-4D21-9E36-942E0DF9FF5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 (1).xlsx]PIVOT!PivotTable9</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solidFill>
          <a:ln w="25400" cap="flat" cmpd="sng" algn="ctr">
            <a:solidFill>
              <a:schemeClr val="accent5">
                <a:shade val="50000"/>
              </a:schemeClr>
            </a:solidFill>
            <a:prstDash val="solid"/>
          </a:ln>
          <a:effectLst/>
        </c:spPr>
        <c:marker>
          <c:symbol val="none"/>
        </c:marker>
      </c:pivotFmt>
    </c:pivotFmts>
    <c:plotArea>
      <c:layout/>
      <c:areaChart>
        <c:grouping val="standard"/>
        <c:varyColors val="0"/>
        <c:ser>
          <c:idx val="0"/>
          <c:order val="0"/>
          <c:tx>
            <c:strRef>
              <c:f>PIVOT!$D$16</c:f>
              <c:strCache>
                <c:ptCount val="1"/>
                <c:pt idx="0">
                  <c:v>Total</c:v>
                </c:pt>
              </c:strCache>
            </c:strRef>
          </c:tx>
          <c:spPr>
            <a:solidFill>
              <a:schemeClr val="accent5"/>
            </a:solidFill>
            <a:ln w="25400" cap="flat" cmpd="sng" algn="ctr">
              <a:solidFill>
                <a:schemeClr val="accent5">
                  <a:shade val="50000"/>
                </a:schemeClr>
              </a:solidFill>
              <a:prstDash val="solid"/>
            </a:ln>
            <a:effectLst/>
          </c:spPr>
          <c:cat>
            <c:strRef>
              <c:f>PIVOT!$C$17:$C$27</c:f>
              <c:strCache>
                <c:ptCount val="10"/>
                <c:pt idx="0">
                  <c:v>PETER OBI</c:v>
                </c:pt>
                <c:pt idx="1">
                  <c:v>FOLA BALOGUN</c:v>
                </c:pt>
                <c:pt idx="2">
                  <c:v>GRACE AMOS</c:v>
                </c:pt>
                <c:pt idx="3">
                  <c:v>CHINEDU NWOSU</c:v>
                </c:pt>
                <c:pt idx="4">
                  <c:v>IFEANYI OKAFOR</c:v>
                </c:pt>
                <c:pt idx="5">
                  <c:v>MARY JOHN</c:v>
                </c:pt>
                <c:pt idx="6">
                  <c:v>AISHA BELLO</c:v>
                </c:pt>
                <c:pt idx="7">
                  <c:v>JOB AUSTIN</c:v>
                </c:pt>
                <c:pt idx="8">
                  <c:v>PRAISE ODUNAYO</c:v>
                </c:pt>
                <c:pt idx="9">
                  <c:v>ABA JOEL</c:v>
                </c:pt>
              </c:strCache>
            </c:strRef>
          </c:cat>
          <c:val>
            <c:numRef>
              <c:f>PIVOT!$D$17:$D$27</c:f>
              <c:numCache>
                <c:formatCode>_(* #,##0.00_);_(* \(#,##0.00\);_(* "-"??_);_(@_)</c:formatCode>
                <c:ptCount val="10"/>
                <c:pt idx="0">
                  <c:v>87790000</c:v>
                </c:pt>
                <c:pt idx="1">
                  <c:v>58707487</c:v>
                </c:pt>
                <c:pt idx="2">
                  <c:v>42610000</c:v>
                </c:pt>
                <c:pt idx="3">
                  <c:v>36226885</c:v>
                </c:pt>
                <c:pt idx="4">
                  <c:v>28986113</c:v>
                </c:pt>
                <c:pt idx="5">
                  <c:v>20919960</c:v>
                </c:pt>
                <c:pt idx="6">
                  <c:v>18690000</c:v>
                </c:pt>
                <c:pt idx="7">
                  <c:v>5250000</c:v>
                </c:pt>
                <c:pt idx="8">
                  <c:v>2850000</c:v>
                </c:pt>
                <c:pt idx="9">
                  <c:v>650000</c:v>
                </c:pt>
              </c:numCache>
            </c:numRef>
          </c:val>
          <c:extLst>
            <c:ext xmlns:c16="http://schemas.microsoft.com/office/drawing/2014/chart" uri="{C3380CC4-5D6E-409C-BE32-E72D297353CC}">
              <c16:uniqueId val="{00000000-F19E-462C-B14C-42762AF4C047}"/>
            </c:ext>
          </c:extLst>
        </c:ser>
        <c:dLbls>
          <c:showLegendKey val="0"/>
          <c:showVal val="0"/>
          <c:showCatName val="0"/>
          <c:showSerName val="0"/>
          <c:showPercent val="0"/>
          <c:showBubbleSize val="0"/>
        </c:dLbls>
        <c:axId val="1123615040"/>
        <c:axId val="1120684256"/>
      </c:areaChart>
      <c:catAx>
        <c:axId val="112361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0684256"/>
        <c:crosses val="autoZero"/>
        <c:auto val="1"/>
        <c:lblAlgn val="ctr"/>
        <c:lblOffset val="100"/>
        <c:noMultiLvlLbl val="0"/>
      </c:catAx>
      <c:valAx>
        <c:axId val="1120684256"/>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6150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 (1).xlsx]PIVOT!PivotTable6</c:name>
    <c:fmtId val="2"/>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PIVOT!$E$7</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D32B-46F8-AD38-9541B17D2DA7}"/>
              </c:ext>
            </c:extLst>
          </c:dPt>
          <c:dPt>
            <c:idx val="1"/>
            <c:bubble3D val="0"/>
            <c:spPr>
              <a:solidFill>
                <a:schemeClr val="accent2"/>
              </a:solidFill>
              <a:ln>
                <a:noFill/>
              </a:ln>
              <a:effectLst/>
              <a:sp3d/>
            </c:spPr>
            <c:extLst>
              <c:ext xmlns:c16="http://schemas.microsoft.com/office/drawing/2014/chart" uri="{C3380CC4-5D6E-409C-BE32-E72D297353CC}">
                <c16:uniqueId val="{00000003-D32B-46F8-AD38-9541B17D2DA7}"/>
              </c:ext>
            </c:extLst>
          </c:dPt>
          <c:dPt>
            <c:idx val="2"/>
            <c:bubble3D val="0"/>
            <c:spPr>
              <a:solidFill>
                <a:schemeClr val="accent3"/>
              </a:solidFill>
              <a:ln>
                <a:noFill/>
              </a:ln>
              <a:effectLst/>
              <a:sp3d/>
            </c:spPr>
            <c:extLst>
              <c:ext xmlns:c16="http://schemas.microsoft.com/office/drawing/2014/chart" uri="{C3380CC4-5D6E-409C-BE32-E72D297353CC}">
                <c16:uniqueId val="{00000005-D32B-46F8-AD38-9541B17D2DA7}"/>
              </c:ext>
            </c:extLst>
          </c:dPt>
          <c:dPt>
            <c:idx val="3"/>
            <c:bubble3D val="0"/>
            <c:spPr>
              <a:solidFill>
                <a:schemeClr val="accent4"/>
              </a:solidFill>
              <a:ln>
                <a:noFill/>
              </a:ln>
              <a:effectLst/>
              <a:sp3d/>
            </c:spPr>
            <c:extLst>
              <c:ext xmlns:c16="http://schemas.microsoft.com/office/drawing/2014/chart" uri="{C3380CC4-5D6E-409C-BE32-E72D297353CC}">
                <c16:uniqueId val="{00000007-D32B-46F8-AD38-9541B17D2DA7}"/>
              </c:ext>
            </c:extLst>
          </c:dPt>
          <c:cat>
            <c:strRef>
              <c:f>PIVOT!$D$8:$D$12</c:f>
              <c:strCache>
                <c:ptCount val="4"/>
                <c:pt idx="0">
                  <c:v>East</c:v>
                </c:pt>
                <c:pt idx="1">
                  <c:v>North</c:v>
                </c:pt>
                <c:pt idx="2">
                  <c:v>South</c:v>
                </c:pt>
                <c:pt idx="3">
                  <c:v>West</c:v>
                </c:pt>
              </c:strCache>
            </c:strRef>
          </c:cat>
          <c:val>
            <c:numRef>
              <c:f>PIVOT!$E$8:$E$12</c:f>
              <c:numCache>
                <c:formatCode>_(* #,##0.00_);_(* \(#,##0.00\);_(* "-"??_);_(@_)</c:formatCode>
                <c:ptCount val="4"/>
                <c:pt idx="0">
                  <c:v>430</c:v>
                </c:pt>
                <c:pt idx="1">
                  <c:v>224</c:v>
                </c:pt>
                <c:pt idx="2">
                  <c:v>276</c:v>
                </c:pt>
                <c:pt idx="3">
                  <c:v>211</c:v>
                </c:pt>
              </c:numCache>
            </c:numRef>
          </c:val>
          <c:extLst>
            <c:ext xmlns:c16="http://schemas.microsoft.com/office/drawing/2014/chart" uri="{C3380CC4-5D6E-409C-BE32-E72D297353CC}">
              <c16:uniqueId val="{00000008-D32B-46F8-AD38-9541B17D2DA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emf"/><Relationship Id="rId7" Type="http://schemas.openxmlformats.org/officeDocument/2006/relationships/chart" Target="../charts/chart2.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emf"/><Relationship Id="rId10" Type="http://schemas.openxmlformats.org/officeDocument/2006/relationships/chart" Target="../charts/chart5.xml"/><Relationship Id="rId4" Type="http://schemas.openxmlformats.org/officeDocument/2006/relationships/image" Target="../media/image4.emf"/><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106888</xdr:colOff>
      <xdr:row>0</xdr:row>
      <xdr:rowOff>123825</xdr:rowOff>
    </xdr:from>
    <xdr:to>
      <xdr:col>24</xdr:col>
      <xdr:colOff>219075</xdr:colOff>
      <xdr:row>37</xdr:row>
      <xdr:rowOff>131379</xdr:rowOff>
    </xdr:to>
    <xdr:sp macro="" textlink="">
      <xdr:nvSpPr>
        <xdr:cNvPr id="2" name="Rectangle 1">
          <a:extLst>
            <a:ext uri="{FF2B5EF4-FFF2-40B4-BE49-F238E27FC236}">
              <a16:creationId xmlns:a16="http://schemas.microsoft.com/office/drawing/2014/main" id="{6535EC1D-660F-4C3B-A75C-F0B0219CE7DB}"/>
            </a:ext>
          </a:extLst>
        </xdr:cNvPr>
        <xdr:cNvSpPr/>
      </xdr:nvSpPr>
      <xdr:spPr>
        <a:xfrm>
          <a:off x="106888" y="123825"/>
          <a:ext cx="14826670" cy="6894020"/>
        </a:xfrm>
        <a:prstGeom prst="rect">
          <a:avLst/>
        </a:prstGeom>
        <a:solidFill>
          <a:sysClr val="window" lastClr="FFFFFF"/>
        </a:solidFill>
        <a:ln>
          <a:solidFill>
            <a:schemeClr val="bg1"/>
          </a:solidFill>
        </a:ln>
        <a:effectLst>
          <a:softEdge rad="88900"/>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175720</xdr:colOff>
      <xdr:row>1</xdr:row>
      <xdr:rowOff>0</xdr:rowOff>
    </xdr:from>
    <xdr:to>
      <xdr:col>24</xdr:col>
      <xdr:colOff>164224</xdr:colOff>
      <xdr:row>4</xdr:row>
      <xdr:rowOff>66675</xdr:rowOff>
    </xdr:to>
    <xdr:sp macro="" textlink="">
      <xdr:nvSpPr>
        <xdr:cNvPr id="3" name="Rectangle: Rounded Corners 2">
          <a:extLst>
            <a:ext uri="{FF2B5EF4-FFF2-40B4-BE49-F238E27FC236}">
              <a16:creationId xmlns:a16="http://schemas.microsoft.com/office/drawing/2014/main" id="{8C73FAA0-6EAF-4DAC-A8E2-69B28A8B570B}"/>
            </a:ext>
          </a:extLst>
        </xdr:cNvPr>
        <xdr:cNvSpPr/>
      </xdr:nvSpPr>
      <xdr:spPr>
        <a:xfrm>
          <a:off x="175720" y="186121"/>
          <a:ext cx="14702987" cy="625037"/>
        </a:xfrm>
        <a:prstGeom prst="roundRect">
          <a:avLst/>
        </a:prstGeom>
        <a:solidFill>
          <a:srgbClr val="5CB09C"/>
        </a:solidFill>
        <a:ln>
          <a:solidFill>
            <a:schemeClr val="bg1"/>
          </a:solidFill>
        </a:ln>
        <a:effectLst/>
        <a:scene3d>
          <a:camera prst="orthographicFront"/>
          <a:lightRig rig="threePt" dir="t"/>
        </a:scene3d>
        <a:sp3d extrusionH="95250" contourW="88900">
          <a:bevelT w="139700" h="139700" prst="divot"/>
          <a:extrusionClr>
            <a:schemeClr val="bg1"/>
          </a:extrusionClr>
          <a:contourClr>
            <a:schemeClr val="bg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2</xdr:col>
      <xdr:colOff>273532</xdr:colOff>
      <xdr:row>1</xdr:row>
      <xdr:rowOff>100333</xdr:rowOff>
    </xdr:from>
    <xdr:ext cx="11391580" cy="446212"/>
    <xdr:sp macro="" textlink="">
      <xdr:nvSpPr>
        <xdr:cNvPr id="5" name="Rectangle 4">
          <a:extLst>
            <a:ext uri="{FF2B5EF4-FFF2-40B4-BE49-F238E27FC236}">
              <a16:creationId xmlns:a16="http://schemas.microsoft.com/office/drawing/2014/main" id="{CE21879F-F216-4D3E-BDE8-0DC24E71ABB9}"/>
            </a:ext>
          </a:extLst>
        </xdr:cNvPr>
        <xdr:cNvSpPr/>
      </xdr:nvSpPr>
      <xdr:spPr>
        <a:xfrm>
          <a:off x="1499739" y="286454"/>
          <a:ext cx="11391580" cy="446212"/>
        </a:xfrm>
        <a:prstGeom prst="rect">
          <a:avLst/>
        </a:prstGeom>
        <a:noFill/>
      </xdr:spPr>
      <xdr:txBody>
        <a:bodyPr wrap="none" lIns="91440" tIns="45720" rIns="91440" bIns="45720">
          <a:spAutoFit/>
        </a:bodyPr>
        <a:lstStyle/>
        <a:p>
          <a:pPr algn="ctr"/>
          <a:r>
            <a:rPr lang="en-US" sz="2400" b="1">
              <a:effectLst/>
              <a:latin typeface="Times New Roman" panose="02020603050405020304" pitchFamily="18" charset="0"/>
              <a:ea typeface="+mn-ea"/>
              <a:cs typeface="Times New Roman" panose="02020603050405020304" pitchFamily="18" charset="0"/>
            </a:rPr>
            <a:t>D-Lite Electronics Ltd (Analysis</a:t>
          </a:r>
          <a:r>
            <a:rPr lang="en-US" sz="2400" b="1" baseline="0">
              <a:effectLst/>
              <a:latin typeface="Times New Roman" panose="02020603050405020304" pitchFamily="18" charset="0"/>
              <a:ea typeface="+mn-ea"/>
              <a:cs typeface="Times New Roman" panose="02020603050405020304" pitchFamily="18" charset="0"/>
            </a:rPr>
            <a:t> of sales, revenue, product in Four different Region)</a:t>
          </a:r>
          <a:r>
            <a:rPr lang="en-US" sz="2400" b="1">
              <a:effectLst/>
              <a:latin typeface="Times New Roman" panose="02020603050405020304" pitchFamily="18" charset="0"/>
              <a:ea typeface="+mn-ea"/>
              <a:cs typeface="Times New Roman" panose="02020603050405020304" pitchFamily="18" charset="0"/>
            </a:rPr>
            <a:t>. </a:t>
          </a:r>
          <a:endParaRPr lang="en-US" sz="9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oneCellAnchor>
  <xdr:twoCellAnchor>
    <xdr:from>
      <xdr:col>0</xdr:col>
      <xdr:colOff>131381</xdr:colOff>
      <xdr:row>4</xdr:row>
      <xdr:rowOff>98534</xdr:rowOff>
    </xdr:from>
    <xdr:to>
      <xdr:col>3</xdr:col>
      <xdr:colOff>19726</xdr:colOff>
      <xdr:row>37</xdr:row>
      <xdr:rowOff>109482</xdr:rowOff>
    </xdr:to>
    <xdr:sp macro="" textlink="">
      <xdr:nvSpPr>
        <xdr:cNvPr id="6" name="Rectangle: Rounded Corners 5">
          <a:extLst>
            <a:ext uri="{FF2B5EF4-FFF2-40B4-BE49-F238E27FC236}">
              <a16:creationId xmlns:a16="http://schemas.microsoft.com/office/drawing/2014/main" id="{DAA68AF3-9CB6-4E32-9D92-E3198D6D45D3}"/>
            </a:ext>
          </a:extLst>
        </xdr:cNvPr>
        <xdr:cNvSpPr/>
      </xdr:nvSpPr>
      <xdr:spPr>
        <a:xfrm>
          <a:off x="131381" y="843017"/>
          <a:ext cx="1727655" cy="6152931"/>
        </a:xfrm>
        <a:prstGeom prst="rect">
          <a:avLst/>
        </a:prstGeom>
        <a:solidFill>
          <a:srgbClr val="5CB09C"/>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108612</xdr:colOff>
      <xdr:row>9</xdr:row>
      <xdr:rowOff>153275</xdr:rowOff>
    </xdr:from>
    <xdr:to>
      <xdr:col>10</xdr:col>
      <xdr:colOff>32848</xdr:colOff>
      <xdr:row>37</xdr:row>
      <xdr:rowOff>65688</xdr:rowOff>
    </xdr:to>
    <xdr:sp macro="" textlink="">
      <xdr:nvSpPr>
        <xdr:cNvPr id="9" name="Rectangle: Rounded Corners 8">
          <a:extLst>
            <a:ext uri="{FF2B5EF4-FFF2-40B4-BE49-F238E27FC236}">
              <a16:creationId xmlns:a16="http://schemas.microsoft.com/office/drawing/2014/main" id="{ABD36A06-CA34-4670-8B47-128C50CF306B}"/>
            </a:ext>
          </a:extLst>
        </xdr:cNvPr>
        <xdr:cNvSpPr/>
      </xdr:nvSpPr>
      <xdr:spPr>
        <a:xfrm>
          <a:off x="1947922" y="1828361"/>
          <a:ext cx="4215960" cy="5123793"/>
        </a:xfrm>
        <a:prstGeom prst="roundRect">
          <a:avLst/>
        </a:prstGeom>
        <a:solidFill>
          <a:srgbClr val="5CB09C"/>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151531</xdr:colOff>
      <xdr:row>9</xdr:row>
      <xdr:rowOff>142328</xdr:rowOff>
    </xdr:from>
    <xdr:to>
      <xdr:col>17</xdr:col>
      <xdr:colOff>75766</xdr:colOff>
      <xdr:row>37</xdr:row>
      <xdr:rowOff>64817</xdr:rowOff>
    </xdr:to>
    <xdr:sp macro="" textlink="">
      <xdr:nvSpPr>
        <xdr:cNvPr id="13" name="Rectangle: Rounded Corners 12">
          <a:extLst>
            <a:ext uri="{FF2B5EF4-FFF2-40B4-BE49-F238E27FC236}">
              <a16:creationId xmlns:a16="http://schemas.microsoft.com/office/drawing/2014/main" id="{AB152E3E-3F72-4674-AD16-E91948FE936A}"/>
            </a:ext>
          </a:extLst>
        </xdr:cNvPr>
        <xdr:cNvSpPr/>
      </xdr:nvSpPr>
      <xdr:spPr>
        <a:xfrm>
          <a:off x="6282565" y="1817414"/>
          <a:ext cx="4215960" cy="5133869"/>
        </a:xfrm>
        <a:prstGeom prst="roundRect">
          <a:avLst/>
        </a:prstGeom>
        <a:solidFill>
          <a:srgbClr val="5CB09C"/>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194449</xdr:colOff>
      <xdr:row>9</xdr:row>
      <xdr:rowOff>142329</xdr:rowOff>
    </xdr:from>
    <xdr:to>
      <xdr:col>24</xdr:col>
      <xdr:colOff>118685</xdr:colOff>
      <xdr:row>37</xdr:row>
      <xdr:rowOff>63945</xdr:rowOff>
    </xdr:to>
    <xdr:sp macro="" textlink="">
      <xdr:nvSpPr>
        <xdr:cNvPr id="14" name="Rectangle: Rounded Corners 13">
          <a:extLst>
            <a:ext uri="{FF2B5EF4-FFF2-40B4-BE49-F238E27FC236}">
              <a16:creationId xmlns:a16="http://schemas.microsoft.com/office/drawing/2014/main" id="{7AA7B009-F05F-48E4-915A-556D4A8654EA}"/>
            </a:ext>
          </a:extLst>
        </xdr:cNvPr>
        <xdr:cNvSpPr/>
      </xdr:nvSpPr>
      <xdr:spPr>
        <a:xfrm>
          <a:off x="10617208" y="1817415"/>
          <a:ext cx="4215960" cy="5132996"/>
        </a:xfrm>
        <a:prstGeom prst="roundRect">
          <a:avLst/>
        </a:prstGeom>
        <a:solidFill>
          <a:srgbClr val="5CB09C"/>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52993</xdr:colOff>
      <xdr:row>4</xdr:row>
      <xdr:rowOff>108606</xdr:rowOff>
    </xdr:from>
    <xdr:to>
      <xdr:col>24</xdr:col>
      <xdr:colOff>142327</xdr:colOff>
      <xdr:row>9</xdr:row>
      <xdr:rowOff>65690</xdr:rowOff>
    </xdr:to>
    <xdr:sp macro="" textlink="">
      <xdr:nvSpPr>
        <xdr:cNvPr id="15" name="Rectangle: Rounded Corners 14">
          <a:extLst>
            <a:ext uri="{FF2B5EF4-FFF2-40B4-BE49-F238E27FC236}">
              <a16:creationId xmlns:a16="http://schemas.microsoft.com/office/drawing/2014/main" id="{590A97E6-54EC-4D6E-B515-E1F3B3B9D5F0}"/>
            </a:ext>
          </a:extLst>
        </xdr:cNvPr>
        <xdr:cNvSpPr/>
      </xdr:nvSpPr>
      <xdr:spPr>
        <a:xfrm>
          <a:off x="1892303" y="853089"/>
          <a:ext cx="12964507" cy="887687"/>
        </a:xfrm>
        <a:prstGeom prst="roundRect">
          <a:avLst/>
        </a:prstGeom>
        <a:solidFill>
          <a:srgbClr val="5CB09C"/>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218963</xdr:colOff>
      <xdr:row>5</xdr:row>
      <xdr:rowOff>54742</xdr:rowOff>
    </xdr:from>
    <xdr:to>
      <xdr:col>7</xdr:col>
      <xdr:colOff>265574</xdr:colOff>
      <xdr:row>8</xdr:row>
      <xdr:rowOff>131378</xdr:rowOff>
    </xdr:to>
    <xdr:pic>
      <xdr:nvPicPr>
        <xdr:cNvPr id="10" name="Picture 9">
          <a:extLst>
            <a:ext uri="{FF2B5EF4-FFF2-40B4-BE49-F238E27FC236}">
              <a16:creationId xmlns:a16="http://schemas.microsoft.com/office/drawing/2014/main" id="{F87A2A6C-C84B-4CA3-8124-138FF6F8BADF}"/>
            </a:ext>
          </a:extLst>
        </xdr:cNvPr>
        <xdr:cNvPicPr>
          <a:picLocks noChangeAspect="1" noChangeArrowheads="1"/>
        </xdr:cNvPicPr>
      </xdr:nvPicPr>
      <xdr:blipFill>
        <a:blip xmlns:r="http://schemas.openxmlformats.org/officeDocument/2006/relationships" r:embed="rId1">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2058273" y="985345"/>
          <a:ext cx="2499025" cy="63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339392</xdr:colOff>
      <xdr:row>5</xdr:row>
      <xdr:rowOff>43793</xdr:rowOff>
    </xdr:from>
    <xdr:to>
      <xdr:col>11</xdr:col>
      <xdr:colOff>429090</xdr:colOff>
      <xdr:row>8</xdr:row>
      <xdr:rowOff>131379</xdr:rowOff>
    </xdr:to>
    <xdr:pic>
      <xdr:nvPicPr>
        <xdr:cNvPr id="11" name="Picture 10">
          <a:extLst>
            <a:ext uri="{FF2B5EF4-FFF2-40B4-BE49-F238E27FC236}">
              <a16:creationId xmlns:a16="http://schemas.microsoft.com/office/drawing/2014/main" id="{A74038BB-4769-4184-A9C6-C2704EA59D02}"/>
            </a:ext>
          </a:extLst>
        </xdr:cNvPr>
        <xdr:cNvPicPr>
          <a:picLocks noChangeAspect="1" noChangeArrowheads="1"/>
        </xdr:cNvPicPr>
      </xdr:nvPicPr>
      <xdr:blipFill>
        <a:blip xmlns:r="http://schemas.openxmlformats.org/officeDocument/2006/relationships" r:embed="rId2">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4631116" y="974396"/>
          <a:ext cx="2542112" cy="645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492670</xdr:colOff>
      <xdr:row>5</xdr:row>
      <xdr:rowOff>43795</xdr:rowOff>
    </xdr:from>
    <xdr:to>
      <xdr:col>15</xdr:col>
      <xdr:colOff>550131</xdr:colOff>
      <xdr:row>8</xdr:row>
      <xdr:rowOff>131380</xdr:rowOff>
    </xdr:to>
    <xdr:pic>
      <xdr:nvPicPr>
        <xdr:cNvPr id="12" name="Picture 11">
          <a:extLst>
            <a:ext uri="{FF2B5EF4-FFF2-40B4-BE49-F238E27FC236}">
              <a16:creationId xmlns:a16="http://schemas.microsoft.com/office/drawing/2014/main" id="{E75D5EEE-6F97-4DA5-9D76-EF22A064F901}"/>
            </a:ext>
          </a:extLst>
        </xdr:cNvPr>
        <xdr:cNvPicPr>
          <a:picLocks noChangeAspect="1" noChangeArrowheads="1"/>
        </xdr:cNvPicPr>
      </xdr:nvPicPr>
      <xdr:blipFill>
        <a:blip xmlns:r="http://schemas.openxmlformats.org/officeDocument/2006/relationships" r:embed="rId3">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7236808" y="974398"/>
          <a:ext cx="2509875" cy="6459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21892</xdr:colOff>
      <xdr:row>5</xdr:row>
      <xdr:rowOff>54743</xdr:rowOff>
    </xdr:from>
    <xdr:to>
      <xdr:col>20</xdr:col>
      <xdr:colOff>414673</xdr:colOff>
      <xdr:row>8</xdr:row>
      <xdr:rowOff>120434</xdr:rowOff>
    </xdr:to>
    <xdr:pic>
      <xdr:nvPicPr>
        <xdr:cNvPr id="16" name="Picture 15">
          <a:extLst>
            <a:ext uri="{FF2B5EF4-FFF2-40B4-BE49-F238E27FC236}">
              <a16:creationId xmlns:a16="http://schemas.microsoft.com/office/drawing/2014/main" id="{0B4A8B68-94B9-40C6-99D0-2593244BF3B3}"/>
            </a:ext>
          </a:extLst>
        </xdr:cNvPr>
        <xdr:cNvPicPr>
          <a:picLocks noChangeAspect="1" noChangeArrowheads="1"/>
        </xdr:cNvPicPr>
      </xdr:nvPicPr>
      <xdr:blipFill>
        <a:blip xmlns:r="http://schemas.openxmlformats.org/officeDocument/2006/relationships" r:embed="rId4">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9831547" y="985346"/>
          <a:ext cx="2845195" cy="624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492667</xdr:colOff>
      <xdr:row>5</xdr:row>
      <xdr:rowOff>21896</xdr:rowOff>
    </xdr:from>
    <xdr:to>
      <xdr:col>24</xdr:col>
      <xdr:colOff>12368</xdr:colOff>
      <xdr:row>8</xdr:row>
      <xdr:rowOff>109482</xdr:rowOff>
    </xdr:to>
    <xdr:pic>
      <xdr:nvPicPr>
        <xdr:cNvPr id="17" name="Picture 16">
          <a:extLst>
            <a:ext uri="{FF2B5EF4-FFF2-40B4-BE49-F238E27FC236}">
              <a16:creationId xmlns:a16="http://schemas.microsoft.com/office/drawing/2014/main" id="{0B55CE1E-09DF-485A-B28A-74D7AD6D579D}"/>
            </a:ext>
          </a:extLst>
        </xdr:cNvPr>
        <xdr:cNvPicPr>
          <a:picLocks noChangeAspect="1" noChangeArrowheads="1"/>
        </xdr:cNvPicPr>
      </xdr:nvPicPr>
      <xdr:blipFill>
        <a:blip xmlns:r="http://schemas.openxmlformats.org/officeDocument/2006/relationships" r:embed="rId5">
          <a:duotone>
            <a:prstClr val="black"/>
            <a:schemeClr val="accent5">
              <a:tint val="45000"/>
              <a:satMod val="400000"/>
            </a:schemeClr>
          </a:duotone>
          <a:extLst>
            <a:ext uri="{28A0092B-C50C-407E-A947-70E740481C1C}">
              <a14:useLocalDpi xmlns:a14="http://schemas.microsoft.com/office/drawing/2010/main" val="0"/>
            </a:ext>
          </a:extLst>
        </a:blip>
        <a:srcRect/>
        <a:stretch>
          <a:fillRect/>
        </a:stretch>
      </xdr:blipFill>
      <xdr:spPr bwMode="auto">
        <a:xfrm>
          <a:off x="12754736" y="952499"/>
          <a:ext cx="1972115" cy="645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218964</xdr:colOff>
      <xdr:row>12</xdr:row>
      <xdr:rowOff>43793</xdr:rowOff>
    </xdr:from>
    <xdr:to>
      <xdr:col>9</xdr:col>
      <xdr:colOff>536464</xdr:colOff>
      <xdr:row>23</xdr:row>
      <xdr:rowOff>164224</xdr:rowOff>
    </xdr:to>
    <xdr:graphicFrame macro="">
      <xdr:nvGraphicFramePr>
        <xdr:cNvPr id="18" name="Chart 17">
          <a:extLst>
            <a:ext uri="{FF2B5EF4-FFF2-40B4-BE49-F238E27FC236}">
              <a16:creationId xmlns:a16="http://schemas.microsoft.com/office/drawing/2014/main" id="{9D0988B2-E40D-4179-8D35-B4100AA08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197070</xdr:colOff>
      <xdr:row>24</xdr:row>
      <xdr:rowOff>21900</xdr:rowOff>
    </xdr:from>
    <xdr:to>
      <xdr:col>9</xdr:col>
      <xdr:colOff>547414</xdr:colOff>
      <xdr:row>34</xdr:row>
      <xdr:rowOff>175176</xdr:rowOff>
    </xdr:to>
    <xdr:graphicFrame macro="">
      <xdr:nvGraphicFramePr>
        <xdr:cNvPr id="19" name="Chart 18">
          <a:extLst>
            <a:ext uri="{FF2B5EF4-FFF2-40B4-BE49-F238E27FC236}">
              <a16:creationId xmlns:a16="http://schemas.microsoft.com/office/drawing/2014/main" id="{C2303513-BC90-48E4-995F-AA974FE78C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4</xdr:col>
      <xdr:colOff>162001</xdr:colOff>
      <xdr:row>10</xdr:row>
      <xdr:rowOff>7436</xdr:rowOff>
    </xdr:from>
    <xdr:ext cx="2829109" cy="405432"/>
    <xdr:sp macro="" textlink="">
      <xdr:nvSpPr>
        <xdr:cNvPr id="4" name="Rectangle 3">
          <a:extLst>
            <a:ext uri="{FF2B5EF4-FFF2-40B4-BE49-F238E27FC236}">
              <a16:creationId xmlns:a16="http://schemas.microsoft.com/office/drawing/2014/main" id="{B07E330F-8231-436D-9D29-0E33F530DCBE}"/>
            </a:ext>
          </a:extLst>
        </xdr:cNvPr>
        <xdr:cNvSpPr/>
      </xdr:nvSpPr>
      <xdr:spPr>
        <a:xfrm>
          <a:off x="2614415" y="1868643"/>
          <a:ext cx="2829109"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Total Revenue By Region</a:t>
          </a:r>
        </a:p>
      </xdr:txBody>
    </xdr:sp>
    <xdr:clientData/>
  </xdr:oneCellAnchor>
  <xdr:oneCellAnchor>
    <xdr:from>
      <xdr:col>4</xdr:col>
      <xdr:colOff>150146</xdr:colOff>
      <xdr:row>35</xdr:row>
      <xdr:rowOff>6558</xdr:rowOff>
    </xdr:from>
    <xdr:ext cx="3048142" cy="405432"/>
    <xdr:sp macro="" textlink="">
      <xdr:nvSpPr>
        <xdr:cNvPr id="20" name="Rectangle 19">
          <a:extLst>
            <a:ext uri="{FF2B5EF4-FFF2-40B4-BE49-F238E27FC236}">
              <a16:creationId xmlns:a16="http://schemas.microsoft.com/office/drawing/2014/main" id="{584B8DF0-89FB-4CB8-BF10-9819A8C948F9}"/>
            </a:ext>
          </a:extLst>
        </xdr:cNvPr>
        <xdr:cNvSpPr/>
      </xdr:nvSpPr>
      <xdr:spPr>
        <a:xfrm>
          <a:off x="2602560" y="6520782"/>
          <a:ext cx="3048142"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Total Revenue By Category</a:t>
          </a:r>
        </a:p>
      </xdr:txBody>
    </xdr:sp>
    <xdr:clientData/>
  </xdr:oneCellAnchor>
  <xdr:twoCellAnchor>
    <xdr:from>
      <xdr:col>10</xdr:col>
      <xdr:colOff>239115</xdr:colOff>
      <xdr:row>12</xdr:row>
      <xdr:rowOff>43792</xdr:rowOff>
    </xdr:from>
    <xdr:to>
      <xdr:col>17</xdr:col>
      <xdr:colOff>0</xdr:colOff>
      <xdr:row>23</xdr:row>
      <xdr:rowOff>98533</xdr:rowOff>
    </xdr:to>
    <xdr:graphicFrame macro="">
      <xdr:nvGraphicFramePr>
        <xdr:cNvPr id="21" name="Chart 20">
          <a:extLst>
            <a:ext uri="{FF2B5EF4-FFF2-40B4-BE49-F238E27FC236}">
              <a16:creationId xmlns:a16="http://schemas.microsoft.com/office/drawing/2014/main" id="{2EAA468E-42D9-4C00-BD31-A1613011A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11</xdr:col>
      <xdr:colOff>120330</xdr:colOff>
      <xdr:row>9</xdr:row>
      <xdr:rowOff>170784</xdr:rowOff>
    </xdr:from>
    <xdr:ext cx="2932599" cy="405432"/>
    <xdr:sp macro="" textlink="">
      <xdr:nvSpPr>
        <xdr:cNvPr id="22" name="Rectangle 21">
          <a:extLst>
            <a:ext uri="{FF2B5EF4-FFF2-40B4-BE49-F238E27FC236}">
              <a16:creationId xmlns:a16="http://schemas.microsoft.com/office/drawing/2014/main" id="{E26AD78F-121C-4704-93E1-F53507B61937}"/>
            </a:ext>
          </a:extLst>
        </xdr:cNvPr>
        <xdr:cNvSpPr/>
      </xdr:nvSpPr>
      <xdr:spPr>
        <a:xfrm>
          <a:off x="6864468" y="1845870"/>
          <a:ext cx="2932599"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Total Revenue By Product</a:t>
          </a:r>
        </a:p>
      </xdr:txBody>
    </xdr:sp>
    <xdr:clientData/>
  </xdr:oneCellAnchor>
  <xdr:twoCellAnchor>
    <xdr:from>
      <xdr:col>17</xdr:col>
      <xdr:colOff>262759</xdr:colOff>
      <xdr:row>12</xdr:row>
      <xdr:rowOff>54742</xdr:rowOff>
    </xdr:from>
    <xdr:to>
      <xdr:col>24</xdr:col>
      <xdr:colOff>43794</xdr:colOff>
      <xdr:row>23</xdr:row>
      <xdr:rowOff>87585</xdr:rowOff>
    </xdr:to>
    <xdr:graphicFrame macro="">
      <xdr:nvGraphicFramePr>
        <xdr:cNvPr id="23" name="Chart 22">
          <a:extLst>
            <a:ext uri="{FF2B5EF4-FFF2-40B4-BE49-F238E27FC236}">
              <a16:creationId xmlns:a16="http://schemas.microsoft.com/office/drawing/2014/main" id="{71B3C9D2-1301-4B5D-81C8-AA7659061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18</xdr:col>
      <xdr:colOff>329493</xdr:colOff>
      <xdr:row>10</xdr:row>
      <xdr:rowOff>16635</xdr:rowOff>
    </xdr:from>
    <xdr:ext cx="2446824" cy="405432"/>
    <xdr:sp macro="" textlink="">
      <xdr:nvSpPr>
        <xdr:cNvPr id="24" name="Rectangle 23">
          <a:extLst>
            <a:ext uri="{FF2B5EF4-FFF2-40B4-BE49-F238E27FC236}">
              <a16:creationId xmlns:a16="http://schemas.microsoft.com/office/drawing/2014/main" id="{0888EB81-5CB5-43E5-A697-77C247E64070}"/>
            </a:ext>
          </a:extLst>
        </xdr:cNvPr>
        <xdr:cNvSpPr/>
      </xdr:nvSpPr>
      <xdr:spPr>
        <a:xfrm>
          <a:off x="11365355" y="1877842"/>
          <a:ext cx="2446824"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Revenue</a:t>
          </a:r>
          <a:r>
            <a:rPr lang="en-US" sz="2000" b="1" cap="none" spc="0" baseline="0">
              <a:ln w="0"/>
              <a:solidFill>
                <a:schemeClr val="tx1"/>
              </a:solidFill>
              <a:effectLst>
                <a:outerShdw blurRad="38100" dist="19050" dir="2700000" algn="tl" rotWithShape="0">
                  <a:schemeClr val="dk1">
                    <a:alpha val="40000"/>
                  </a:schemeClr>
                </a:outerShdw>
              </a:effectLst>
            </a:rPr>
            <a:t> By Category</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10</xdr:col>
      <xdr:colOff>239117</xdr:colOff>
      <xdr:row>24</xdr:row>
      <xdr:rowOff>-1</xdr:rowOff>
    </xdr:from>
    <xdr:to>
      <xdr:col>17</xdr:col>
      <xdr:colOff>0</xdr:colOff>
      <xdr:row>34</xdr:row>
      <xdr:rowOff>164224</xdr:rowOff>
    </xdr:to>
    <xdr:graphicFrame macro="">
      <xdr:nvGraphicFramePr>
        <xdr:cNvPr id="25" name="Chart 24">
          <a:extLst>
            <a:ext uri="{FF2B5EF4-FFF2-40B4-BE49-F238E27FC236}">
              <a16:creationId xmlns:a16="http://schemas.microsoft.com/office/drawing/2014/main" id="{B961D687-739F-4BF9-A72C-487185994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260137</xdr:colOff>
      <xdr:row>23</xdr:row>
      <xdr:rowOff>131381</xdr:rowOff>
    </xdr:from>
    <xdr:to>
      <xdr:col>24</xdr:col>
      <xdr:colOff>43793</xdr:colOff>
      <xdr:row>34</xdr:row>
      <xdr:rowOff>175175</xdr:rowOff>
    </xdr:to>
    <xdr:graphicFrame macro="">
      <xdr:nvGraphicFramePr>
        <xdr:cNvPr id="26" name="Chart 25">
          <a:extLst>
            <a:ext uri="{FF2B5EF4-FFF2-40B4-BE49-F238E27FC236}">
              <a16:creationId xmlns:a16="http://schemas.microsoft.com/office/drawing/2014/main" id="{F2DA939B-AE79-4C1F-9FE1-B9985D6FB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18</xdr:col>
      <xdr:colOff>245774</xdr:colOff>
      <xdr:row>35</xdr:row>
      <xdr:rowOff>37663</xdr:rowOff>
    </xdr:from>
    <xdr:ext cx="2875274" cy="405432"/>
    <xdr:sp macro="" textlink="">
      <xdr:nvSpPr>
        <xdr:cNvPr id="27" name="Rectangle 26">
          <a:extLst>
            <a:ext uri="{FF2B5EF4-FFF2-40B4-BE49-F238E27FC236}">
              <a16:creationId xmlns:a16="http://schemas.microsoft.com/office/drawing/2014/main" id="{AAD1F8DB-3403-4C21-9516-05B949C74E86}"/>
            </a:ext>
          </a:extLst>
        </xdr:cNvPr>
        <xdr:cNvSpPr/>
      </xdr:nvSpPr>
      <xdr:spPr>
        <a:xfrm>
          <a:off x="11281636" y="6551887"/>
          <a:ext cx="2875274"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Total</a:t>
          </a:r>
          <a:r>
            <a:rPr lang="en-US" sz="2000" b="1" cap="none" spc="0" baseline="0">
              <a:ln w="0"/>
              <a:solidFill>
                <a:schemeClr val="tx1"/>
              </a:solidFill>
              <a:effectLst>
                <a:outerShdw blurRad="38100" dist="19050" dir="2700000" algn="tl" rotWithShape="0">
                  <a:schemeClr val="dk1">
                    <a:alpha val="40000"/>
                  </a:schemeClr>
                </a:outerShdw>
              </a:effectLst>
            </a:rPr>
            <a:t> Unit Sold By Region</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63342</xdr:colOff>
      <xdr:row>35</xdr:row>
      <xdr:rowOff>36787</xdr:rowOff>
    </xdr:from>
    <xdr:ext cx="3107005" cy="405432"/>
    <xdr:sp macro="" textlink="">
      <xdr:nvSpPr>
        <xdr:cNvPr id="28" name="Rectangle 27">
          <a:extLst>
            <a:ext uri="{FF2B5EF4-FFF2-40B4-BE49-F238E27FC236}">
              <a16:creationId xmlns:a16="http://schemas.microsoft.com/office/drawing/2014/main" id="{353AA921-7297-4B0B-AEFD-10CA3B2C64D2}"/>
            </a:ext>
          </a:extLst>
        </xdr:cNvPr>
        <xdr:cNvSpPr/>
      </xdr:nvSpPr>
      <xdr:spPr>
        <a:xfrm>
          <a:off x="6807480" y="6551011"/>
          <a:ext cx="3107005" cy="405432"/>
        </a:xfrm>
        <a:prstGeom prst="rect">
          <a:avLst/>
        </a:prstGeom>
        <a:noFill/>
      </xdr:spPr>
      <xdr:txBody>
        <a:bodyPr wrap="none" lIns="91440" tIns="45720" rIns="91440" bIns="45720">
          <a:spAutoFit/>
        </a:bodyPr>
        <a:lstStyle/>
        <a:p>
          <a:pPr algn="ctr"/>
          <a:r>
            <a:rPr lang="en-US" sz="2000" b="1" cap="none" spc="0">
              <a:ln w="0"/>
              <a:solidFill>
                <a:schemeClr val="tx1"/>
              </a:solidFill>
              <a:effectLst>
                <a:outerShdw blurRad="38100" dist="19050" dir="2700000" algn="tl" rotWithShape="0">
                  <a:schemeClr val="dk1">
                    <a:alpha val="40000"/>
                  </a:schemeClr>
                </a:outerShdw>
              </a:effectLst>
            </a:rPr>
            <a:t>Total</a:t>
          </a:r>
          <a:r>
            <a:rPr lang="en-US" sz="2000" b="1" cap="none" spc="0" baseline="0">
              <a:ln w="0"/>
              <a:solidFill>
                <a:schemeClr val="tx1"/>
              </a:solidFill>
              <a:effectLst>
                <a:outerShdw blurRad="38100" dist="19050" dir="2700000" algn="tl" rotWithShape="0">
                  <a:schemeClr val="dk1">
                    <a:alpha val="40000"/>
                  </a:schemeClr>
                </a:outerShdw>
              </a:effectLst>
            </a:rPr>
            <a:t> Revenue By Sales Rep</a:t>
          </a:r>
          <a:endParaRPr lang="en-US" sz="20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211521</xdr:colOff>
      <xdr:row>5</xdr:row>
      <xdr:rowOff>116819</xdr:rowOff>
    </xdr:from>
    <xdr:to>
      <xdr:col>2</xdr:col>
      <xdr:colOff>547415</xdr:colOff>
      <xdr:row>13</xdr:row>
      <xdr:rowOff>76638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61804B6-6720-4967-8711-232913DCD14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1521" y="1095415"/>
              <a:ext cx="1562401" cy="15255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216997</xdr:colOff>
      <xdr:row>13</xdr:row>
      <xdr:rowOff>142327</xdr:rowOff>
    </xdr:from>
    <xdr:to>
      <xdr:col>2</xdr:col>
      <xdr:colOff>547415</xdr:colOff>
      <xdr:row>20</xdr:row>
      <xdr:rowOff>161158</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E942083F-F8A3-44E2-A81E-0FD5C0AFE17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16997" y="2686676"/>
              <a:ext cx="1556925" cy="1388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197069</xdr:colOff>
      <xdr:row>21</xdr:row>
      <xdr:rowOff>43791</xdr:rowOff>
    </xdr:from>
    <xdr:to>
      <xdr:col>2</xdr:col>
      <xdr:colOff>558362</xdr:colOff>
      <xdr:row>29</xdr:row>
      <xdr:rowOff>65684</xdr:rowOff>
    </xdr:to>
    <mc:AlternateContent xmlns:mc="http://schemas.openxmlformats.org/markup-compatibility/2006">
      <mc:Choice xmlns:a14="http://schemas.microsoft.com/office/drawing/2010/main" Requires="a14">
        <xdr:graphicFrame macro="">
          <xdr:nvGraphicFramePr>
            <xdr:cNvPr id="29" name="CATEGORY">
              <a:extLst>
                <a:ext uri="{FF2B5EF4-FFF2-40B4-BE49-F238E27FC236}">
                  <a16:creationId xmlns:a16="http://schemas.microsoft.com/office/drawing/2014/main" id="{000C6F1D-3F1E-468D-A0C0-48DC872A4B8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7069" y="4153894"/>
              <a:ext cx="1587800" cy="1587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216982</xdr:colOff>
      <xdr:row>29</xdr:row>
      <xdr:rowOff>122293</xdr:rowOff>
    </xdr:from>
    <xdr:to>
      <xdr:col>2</xdr:col>
      <xdr:colOff>569297</xdr:colOff>
      <xdr:row>37</xdr:row>
      <xdr:rowOff>32845</xdr:rowOff>
    </xdr:to>
    <mc:AlternateContent xmlns:mc="http://schemas.openxmlformats.org/markup-compatibility/2006">
      <mc:Choice xmlns:a14="http://schemas.microsoft.com/office/drawing/2010/main" Requires="a14">
        <xdr:graphicFrame macro="">
          <xdr:nvGraphicFramePr>
            <xdr:cNvPr id="30" name="SALES REP">
              <a:extLst>
                <a:ext uri="{FF2B5EF4-FFF2-40B4-BE49-F238E27FC236}">
                  <a16:creationId xmlns:a16="http://schemas.microsoft.com/office/drawing/2014/main" id="{84B8209E-4B11-4A0C-9E3B-CC5C03A24161}"/>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216982" y="5798149"/>
              <a:ext cx="1578822" cy="14763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33.485462962963" createdVersion="6" refreshedVersion="6" minRefreshableVersion="3" recordCount="100" xr:uid="{8A8AC147-B33A-46F4-A507-AB32213429A8}">
  <cacheSource type="worksheet">
    <worksheetSource name="Table1"/>
  </cacheSource>
  <cacheFields count="18">
    <cacheField name="Inconsistent date" numFmtId="164">
      <sharedItems containsDate="1" containsMixedTypes="1" minDate="2025-01-06T00:00:00" maxDate="2205-06-18T00:00:00"/>
    </cacheField>
    <cacheField name="substitute date" numFmtId="164">
      <sharedItems/>
    </cacheField>
    <cacheField name="DATE" numFmtId="14">
      <sharedItems/>
    </cacheField>
    <cacheField name="Region1" numFmtId="0">
      <sharedItems/>
    </cacheField>
    <cacheField name="region 2" numFmtId="0">
      <sharedItems/>
    </cacheField>
    <cacheField name="REGION" numFmtId="0">
      <sharedItems count="4">
        <s v="South"/>
        <s v="East"/>
        <s v="North"/>
        <s v="West"/>
      </sharedItems>
    </cacheField>
    <cacheField name="M Product" numFmtId="0">
      <sharedItems/>
    </cacheField>
    <cacheField name="PRODUCT" numFmtId="0">
      <sharedItems count="8">
        <s v="LAPTOP A15"/>
        <s v="TV 43Q"/>
        <s v="PHONE X12"/>
        <s v="MONITOR M24"/>
        <s v="CAMERA C100"/>
        <s v="Tablet T8"/>
        <s v="Speaker S10"/>
        <s v="unknown"/>
      </sharedItems>
    </cacheField>
    <cacheField name="M Category" numFmtId="0">
      <sharedItems/>
    </cacheField>
    <cacheField name="CATEGORY" numFmtId="0">
      <sharedItems count="5">
        <s v="ELECTRONICS"/>
        <s v="MOBILE"/>
        <s v="PHOTOGRAPHY"/>
        <s v="AUDIO"/>
        <s v="COMPUTERS"/>
      </sharedItems>
    </cacheField>
    <cacheField name="UNIT SOLD" numFmtId="0">
      <sharedItems containsSemiMixedTypes="0" containsString="0" containsNumber="1" containsInteger="1" minValue="1" maxValue="20" count="20">
        <n v="8"/>
        <n v="6"/>
        <n v="14"/>
        <n v="18"/>
        <n v="5"/>
        <n v="19"/>
        <n v="3"/>
        <n v="2"/>
        <n v="4"/>
        <n v="20"/>
        <n v="1"/>
        <n v="11"/>
        <n v="10"/>
        <n v="12"/>
        <n v="17"/>
        <n v="15"/>
        <n v="9"/>
        <n v="7"/>
        <n v="13"/>
        <n v="16"/>
      </sharedItems>
    </cacheField>
    <cacheField name="UNIT PRICE" numFmtId="43">
      <sharedItems containsSemiMixedTypes="0" containsString="0" containsNumber="1" containsInteger="1" minValue="3500" maxValue="2500000"/>
    </cacheField>
    <cacheField name="M Sales Rep" numFmtId="0">
      <sharedItems/>
    </cacheField>
    <cacheField name="M2 SALES REP." numFmtId="0">
      <sharedItems/>
    </cacheField>
    <cacheField name="TOTAL REVENUE" numFmtId="43">
      <sharedItems containsSemiMixedTypes="0" containsString="0" containsNumber="1" containsInteger="1" minValue="59500" maxValue="50000000"/>
    </cacheField>
    <cacheField name="SALES REP" numFmtId="0">
      <sharedItems count="10">
        <s v="PETER OBI"/>
        <s v="IFEANYI OKAFOR"/>
        <s v="FOLA BALOGUN"/>
        <s v="AISHA BELLO"/>
        <s v="CHINEDU NWOSU"/>
        <s v="MARY JOHN"/>
        <s v="GRACE AMOS"/>
        <s v="JOB AUSTIN"/>
        <s v="ABA JOEL"/>
        <s v="PRAISE ODUNAYO"/>
      </sharedItems>
    </cacheField>
    <cacheField name="CUSTOMER" numFmtId="0">
      <sharedItems/>
    </cacheField>
    <cacheField name="M Customer" numFmtId="0">
      <sharedItems/>
    </cacheField>
  </cacheFields>
  <extLst>
    <ext xmlns:x14="http://schemas.microsoft.com/office/spreadsheetml/2009/9/main" uri="{725AE2AE-9491-48be-B2B4-4EB974FC3084}">
      <x14:pivotCacheDefinition pivotCacheId="577426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6-13T00:00:00"/>
    <s v="45821"/>
    <s v="13-Jun-2025"/>
    <s v="South"/>
    <s v="South"/>
    <x v="0"/>
    <s v="LAPTOP A15"/>
    <x v="0"/>
    <s v="computers  "/>
    <x v="0"/>
    <x v="0"/>
    <n v="2500000"/>
    <s v="  Peter Obi   "/>
    <s v="Peter Obi"/>
    <n v="20000000"/>
    <x v="0"/>
    <s v="BRIGHT SOLUTIONS"/>
    <s v="bright solutions"/>
  </r>
  <r>
    <d v="2025-04-08T00:00:00"/>
    <s v="45755"/>
    <s v="08-Apr-2025"/>
    <s v=" EAST"/>
    <s v="East"/>
    <x v="1"/>
    <s v="TV 43Q"/>
    <x v="1"/>
    <s v="ELECTRONICS"/>
    <x v="0"/>
    <x v="1"/>
    <n v="350000"/>
    <s v="Ifeanyi Okafor  "/>
    <s v="Ifeanyi Okafor"/>
    <n v="2100000"/>
    <x v="1"/>
    <s v="MUSA ENTERPRISES"/>
    <s v="Musa Enterprises"/>
  </r>
  <r>
    <d v="2025-01-29T00:00:00"/>
    <s v="45686"/>
    <s v="29-Jan-2025"/>
    <s v="North"/>
    <s v="North"/>
    <x v="2"/>
    <s v="PHONE X12"/>
    <x v="2"/>
    <s v="Mobile"/>
    <x v="1"/>
    <x v="2"/>
    <n v="180000"/>
    <s v="fola balogun"/>
    <s v="Fola Balogun"/>
    <n v="2520000"/>
    <x v="2"/>
    <s v="ZAINAB GLOBAL"/>
    <s v=" ZAINAB GLOBAL  "/>
  </r>
  <r>
    <d v="2025-05-17T00:00:00"/>
    <s v="45794"/>
    <s v="17-May-2025"/>
    <s v="South "/>
    <s v="South"/>
    <x v="0"/>
    <s v="MONITOR M24"/>
    <x v="3"/>
    <s v="  PERIPHERALS "/>
    <x v="2"/>
    <x v="3"/>
    <n v="65000"/>
    <s v="IFEANYI OKAFOR"/>
    <s v="Ifeanyi Okafor"/>
    <n v="1170000"/>
    <x v="1"/>
    <s v="JIDE SUPERSTORES"/>
    <s v=" Jid eSuperstores "/>
  </r>
  <r>
    <d v="2025-01-28T00:00:00"/>
    <s v="45685"/>
    <s v="28-Jan-2025"/>
    <s v="WEST"/>
    <s v="West"/>
    <x v="3"/>
    <s v="  Phone X12 "/>
    <x v="2"/>
    <s v=" Mobile"/>
    <x v="1"/>
    <x v="4"/>
    <n v="180000"/>
    <s v="petero bi"/>
    <s v="Petero Bi"/>
    <n v="900000"/>
    <x v="0"/>
    <s v="CHIKA MART"/>
    <s v="chkia  mart"/>
  </r>
  <r>
    <d v="2025-05-26T00:00:00"/>
    <s v="45803"/>
    <s v="26-May-2025"/>
    <s v="east,"/>
    <s v="East,"/>
    <x v="1"/>
    <s v="  Phone X12 "/>
    <x v="2"/>
    <s v="Mobile"/>
    <x v="1"/>
    <x v="5"/>
    <n v="157427"/>
    <s v="IFEANYI  OKAFOR"/>
    <s v="Ifeanyi Okafor"/>
    <n v="2991113"/>
    <x v="1"/>
    <s v="MUSA ENTERPRISES"/>
    <s v="Musa  Enterprises"/>
  </r>
  <r>
    <d v="2025-05-06T00:00:00"/>
    <s v="45783"/>
    <s v="06-May-2025"/>
    <s v=" WEST "/>
    <s v="West"/>
    <x v="3"/>
    <s v="  tv 43q "/>
    <x v="1"/>
    <s v=" Electronics"/>
    <x v="0"/>
    <x v="6"/>
    <n v="350000"/>
    <s v="AISHA  BELLO"/>
    <s v="Aisha Bello"/>
    <n v="1050000"/>
    <x v="3"/>
    <s v="CHIKA MART"/>
    <s v="Chika  Mart"/>
  </r>
  <r>
    <d v="2025-02-10T00:00:00"/>
    <s v="45698"/>
    <s v="10-Feb-2025"/>
    <s v="west  "/>
    <s v="West"/>
    <x v="3"/>
    <s v=" monitor m24  "/>
    <x v="3"/>
    <s v="peripherals"/>
    <x v="2"/>
    <x v="7"/>
    <n v="65000"/>
    <s v="peter obi"/>
    <s v="Peter Obi"/>
    <n v="130000"/>
    <x v="0"/>
    <s v="MUSA ENTERPRISES"/>
    <s v="MUSA ENTERPIRSES "/>
  </r>
  <r>
    <d v="2025-02-01T00:00:00"/>
    <s v="45689"/>
    <s v="01-Feb-2025"/>
    <s v=" East "/>
    <s v="East"/>
    <x v="1"/>
    <s v=" CAMERA C100"/>
    <x v="4"/>
    <s v="PHOTOGRAPHY "/>
    <x v="2"/>
    <x v="2"/>
    <n v="175000"/>
    <s v=" fola balogun "/>
    <s v="Fola Balogun"/>
    <n v="2450000"/>
    <x v="2"/>
    <s v="BRIGHT SOLUTIONS"/>
    <s v="BRIGTH  SOLUTIONS "/>
  </r>
  <r>
    <d v="2025-06-28T00:00:00"/>
    <s v="45836"/>
    <s v="28-Jun-2025"/>
    <s v="WEST"/>
    <s v="West"/>
    <x v="3"/>
    <s v="Tablet T8"/>
    <x v="5"/>
    <s v="  mobile ,"/>
    <x v="1"/>
    <x v="8"/>
    <n v="150000"/>
    <s v="  Peter Obi "/>
    <s v="Peter Obi"/>
    <n v="600000"/>
    <x v="0"/>
    <s v="ALPHA RETAILERS"/>
    <s v="Alpha Retailers"/>
  </r>
  <r>
    <d v="2025-04-18T00:00:00"/>
    <s v="45765"/>
    <s v="18-Apr-2025"/>
    <s v="South"/>
    <s v="South"/>
    <x v="0"/>
    <s v=" TABLET T8 _x0009_"/>
    <x v="5"/>
    <s v="  Mobile"/>
    <x v="1"/>
    <x v="9"/>
    <n v="150000"/>
    <s v="fola  balogun"/>
    <s v="Fola Balogun"/>
    <n v="3000000"/>
    <x v="2"/>
    <s v="MUSA ENTERPRISES"/>
    <s v="Musa Enterprises"/>
  </r>
  <r>
    <d v="2025-02-25T00:00:00"/>
    <s v="45713"/>
    <s v="25-Feb-2025"/>
    <s v="North"/>
    <s v="North"/>
    <x v="2"/>
    <s v="Speaker S10"/>
    <x v="6"/>
    <s v=" Audio "/>
    <x v="3"/>
    <x v="1"/>
    <n v="85000"/>
    <s v="Aisha Bello"/>
    <s v="Aisha Bello"/>
    <n v="510000"/>
    <x v="3"/>
    <s v="OMEGA WHOLESALE"/>
    <s v="Omega Wholesale"/>
  </r>
  <r>
    <d v="2025-04-29T00:00:00"/>
    <s v="45776"/>
    <s v="29-Apr-2025"/>
    <s v=" WEST "/>
    <s v="West"/>
    <x v="3"/>
    <s v="TABLET  T8 "/>
    <x v="5"/>
    <s v="Mobile "/>
    <x v="1"/>
    <x v="10"/>
    <n v="150000"/>
    <s v="  AISHA BELLO"/>
    <s v="Aisha Bello"/>
    <n v="150000"/>
    <x v="3"/>
    <s v="KELVIN TECH"/>
    <s v="kelvin tech"/>
  </r>
  <r>
    <d v="2025-02-02T00:00:00"/>
    <s v="45690"/>
    <s v="02-Feb-2025"/>
    <s v=" eats"/>
    <s v="Eats"/>
    <x v="1"/>
    <s v=" tv 43q"/>
    <x v="1"/>
    <s v="ELECTRONICS"/>
    <x v="0"/>
    <x v="3"/>
    <n v="35000"/>
    <s v="Chinedu  Nwosu"/>
    <s v="Chinedu Nwosu"/>
    <n v="630000"/>
    <x v="4"/>
    <s v="EMEKA TRADERS"/>
    <s v="EMEKA  TRADERS"/>
  </r>
  <r>
    <d v="2025-04-15T00:00:00"/>
    <s v="45762"/>
    <s v="15-Apr-2025"/>
    <s v="South "/>
    <s v="South"/>
    <x v="0"/>
    <s v=" Speaker S10 "/>
    <x v="6"/>
    <s v=" Audio ."/>
    <x v="3"/>
    <x v="7"/>
    <n v="85000"/>
    <s v="Ifeanyi Okafor  "/>
    <s v="Ifeanyi Okafor"/>
    <n v="170000"/>
    <x v="1"/>
    <s v="BRIGHT SOLUTIONS"/>
    <s v="bright solutions"/>
  </r>
  <r>
    <d v="2025-06-12T00:00:00"/>
    <s v="45820"/>
    <s v="12-Jun-2025"/>
    <s v="East  "/>
    <s v="East"/>
    <x v="1"/>
    <s v="MONITOR M24"/>
    <x v="3"/>
    <s v=" Peripherals "/>
    <x v="2"/>
    <x v="11"/>
    <n v="62035"/>
    <s v="chinedu nwosu   "/>
    <s v="Chinedu Nwosu"/>
    <n v="682385"/>
    <x v="4"/>
    <s v="TOLA VENTURES"/>
    <s v="tola  ventures"/>
  </r>
  <r>
    <d v="2025-01-31T00:00:00"/>
    <s v="45688"/>
    <s v="31-Jan-2025"/>
    <s v="East"/>
    <s v="East"/>
    <x v="1"/>
    <s v="Camera  C100 "/>
    <x v="4"/>
    <s v="PHOTOGRAPHY "/>
    <x v="2"/>
    <x v="12"/>
    <n v="175000"/>
    <s v=" fola balogun "/>
    <s v="Fola Balogun"/>
    <n v="1750000"/>
    <x v="2"/>
    <s v="OMEGA WHOLESALE"/>
    <s v="Omega Wholesale"/>
  </r>
  <r>
    <d v="2025-02-02T00:00:00"/>
    <s v="45690"/>
    <s v="02-Feb-2025"/>
    <s v="  West"/>
    <s v="West"/>
    <x v="3"/>
    <s v="Tablet T8"/>
    <x v="5"/>
    <s v="Mobile"/>
    <x v="1"/>
    <x v="8"/>
    <n v="150000"/>
    <s v="  mary john "/>
    <s v="Mary John"/>
    <n v="600000"/>
    <x v="5"/>
    <s v="JIDE SUPERSTORES"/>
    <s v="  Jide Superstores "/>
  </r>
  <r>
    <d v="2025-05-25T00:00:00"/>
    <s v="45802"/>
    <s v="25-May-2025"/>
    <s v="WEST"/>
    <s v="West"/>
    <x v="3"/>
    <s v=" CAMERA C100"/>
    <x v="4"/>
    <s v="Photography"/>
    <x v="2"/>
    <x v="6"/>
    <n v="175000"/>
    <s v="Grace  Amos"/>
    <s v="Grace Amos"/>
    <n v="525000"/>
    <x v="6"/>
    <s v="FEMI TECH"/>
    <s v="Femi Tech "/>
  </r>
  <r>
    <d v="2025-02-26T00:00:00"/>
    <s v="45714"/>
    <s v="26-Feb-2025"/>
    <s v=" North"/>
    <s v="North"/>
    <x v="2"/>
    <s v="Camera  C100"/>
    <x v="4"/>
    <s v="Photography"/>
    <x v="2"/>
    <x v="4"/>
    <n v="175000"/>
    <s v="Chinedu Nwosu"/>
    <s v="Chinedu Nwosu"/>
    <n v="875000"/>
    <x v="4"/>
    <s v="FEMI TECH"/>
    <s v="Femi Tech "/>
  </r>
  <r>
    <s v="06-Apr-2025 ."/>
    <s v="06-Apr-2025"/>
    <s v="06-Apr-2025"/>
    <s v=" East "/>
    <s v="East"/>
    <x v="1"/>
    <s v="LAPTOP A15"/>
    <x v="0"/>
    <s v="Computers"/>
    <x v="4"/>
    <x v="9"/>
    <n v="250000"/>
    <s v="GRACE AMOS "/>
    <s v="Grace Amos"/>
    <n v="5000000"/>
    <x v="6"/>
    <s v="MUSA ENTERPRISES"/>
    <s v="Musa  Enterprises"/>
  </r>
  <r>
    <d v="2025-02-24T00:00:00"/>
    <s v="45712"/>
    <s v="24-Feb-2025"/>
    <s v="East"/>
    <s v="East"/>
    <x v="1"/>
    <s v=" camera c100   "/>
    <x v="4"/>
    <s v="  Photography "/>
    <x v="2"/>
    <x v="7"/>
    <n v="175000"/>
    <s v="PETER  OBI"/>
    <s v="Peter Obi"/>
    <n v="350000"/>
    <x v="0"/>
    <s v="EMEKA TRADERS"/>
    <s v="Emeka Traders "/>
  </r>
  <r>
    <d v="2025-03-24T00:00:00"/>
    <s v="45740"/>
    <s v="24-Mar-2025"/>
    <s v="East"/>
    <s v="East"/>
    <x v="1"/>
    <s v="Tablet T8 "/>
    <x v="5"/>
    <s v="  mobile."/>
    <x v="1"/>
    <x v="9"/>
    <n v="150000"/>
    <s v=" fola balogun "/>
    <s v="Fola Balogun"/>
    <n v="3000000"/>
    <x v="2"/>
    <s v="MARYAM LTD"/>
    <s v="Maryam Ltd"/>
  </r>
  <r>
    <d v="2025-05-28T00:00:00"/>
    <s v="45805"/>
    <s v="28-May-2025"/>
    <s v="North"/>
    <s v="North"/>
    <x v="2"/>
    <s v=" Tablet T8 "/>
    <x v="5"/>
    <s v="mobile   "/>
    <x v="1"/>
    <x v="0"/>
    <n v="150000"/>
    <s v=" ifeanyi okafor "/>
    <s v="Ifeanyi Okafor"/>
    <n v="1200000"/>
    <x v="1"/>
    <s v="OMEGA WHOLESALE"/>
    <s v="omega  wholesale"/>
  </r>
  <r>
    <d v="2025-05-12T00:00:00"/>
    <s v="45789"/>
    <s v="12-May-2025"/>
    <s v="  West "/>
    <s v="West"/>
    <x v="3"/>
    <s v="Laptop A15."/>
    <x v="0"/>
    <s v=" Computers "/>
    <x v="4"/>
    <x v="5"/>
    <n v="250000"/>
    <s v=" Grace Amos "/>
    <s v="Grace Amos"/>
    <n v="4750000"/>
    <x v="6"/>
    <s v="FEMI TECH"/>
    <s v="Femi Tech "/>
  </r>
  <r>
    <d v="2025-05-11T00:00:00"/>
    <s v="45788"/>
    <s v="11-May-2025"/>
    <s v=" EAST"/>
    <s v="East"/>
    <x v="1"/>
    <s v="Camera C010 "/>
    <x v="4"/>
    <s v="Photography"/>
    <x v="2"/>
    <x v="13"/>
    <n v="175000"/>
    <s v="chinedu nwosu "/>
    <s v="Chinedu Nwosu"/>
    <n v="2100000"/>
    <x v="4"/>
    <s v="OMEGA WHOLESALE"/>
    <s v="Omega Wholesale"/>
  </r>
  <r>
    <d v="2025-01-16T00:00:00"/>
    <s v="45673"/>
    <s v="16-Jan-2025"/>
    <s v="North."/>
    <s v="North."/>
    <x v="2"/>
    <s v=" SPEAKER S10"/>
    <x v="6"/>
    <s v=" Audio."/>
    <x v="3"/>
    <x v="11"/>
    <n v="85000"/>
    <s v="grace amos"/>
    <s v="Grace Amos"/>
    <n v="935000"/>
    <x v="6"/>
    <s v="FEMI TECH"/>
    <s v="  Femi Tech "/>
  </r>
  <r>
    <d v="2025-05-10T00:00:00"/>
    <s v="45787"/>
    <s v="10-May-2025"/>
    <s v="North"/>
    <s v="North"/>
    <x v="2"/>
    <s v=" Monitor M24 "/>
    <x v="3"/>
    <s v="peripherals"/>
    <x v="2"/>
    <x v="14"/>
    <n v="65000"/>
    <s v="Chinedu Nwosu"/>
    <s v="Chinedu Nwosu"/>
    <n v="1105000"/>
    <x v="4"/>
    <s v="KELVIN TECH"/>
    <s v=" Kelvin Tech _x0009_"/>
  </r>
  <r>
    <d v="2025-02-01T00:00:00"/>
    <s v="45689"/>
    <s v="01-Feb-2025"/>
    <s v="  South "/>
    <s v="South"/>
    <x v="0"/>
    <s v="TV  43Q "/>
    <x v="1"/>
    <s v="elecrtonics"/>
    <x v="0"/>
    <x v="15"/>
    <n v="350000"/>
    <s v="Job Austin"/>
    <s v="Job Austin"/>
    <n v="5250000"/>
    <x v="7"/>
    <s v="ZAINAB GLOBAL"/>
    <s v=" zainab global_x0009_"/>
  </r>
  <r>
    <d v="2025-02-06T00:00:00"/>
    <s v="45694"/>
    <s v="06-Feb-2025"/>
    <s v="west  "/>
    <s v="West"/>
    <x v="3"/>
    <s v="tv  43q"/>
    <x v="1"/>
    <s v="ELECTRONICS"/>
    <x v="0"/>
    <x v="0"/>
    <n v="350000"/>
    <s v="peter  obi "/>
    <s v="Peter Obi"/>
    <n v="2800000"/>
    <x v="0"/>
    <s v="FEMI TECH"/>
    <s v=" Femi Tech "/>
  </r>
  <r>
    <d v="2025-06-17T00:00:00"/>
    <s v="45825"/>
    <s v="17-Jun-2025"/>
    <s v="WEST"/>
    <s v="West"/>
    <x v="3"/>
    <s v="tv  43q"/>
    <x v="1"/>
    <s v="Electronics   "/>
    <x v="0"/>
    <x v="2"/>
    <n v="350000"/>
    <s v="Chinedu  Nwosu"/>
    <s v="Chinedu Nwosu"/>
    <n v="4900000"/>
    <x v="4"/>
    <s v="TOPE &amp; SONS"/>
    <s v="Tope &amp; Sons ."/>
  </r>
  <r>
    <d v="2025-01-09T00:00:00"/>
    <s v="45666"/>
    <s v="09-Jan-2025"/>
    <s v="East"/>
    <s v="East"/>
    <x v="1"/>
    <s v="Tablet T8"/>
    <x v="5"/>
    <s v="mobile."/>
    <x v="1"/>
    <x v="13"/>
    <n v="150000"/>
    <s v="fola balogun"/>
    <s v="Fola Balogun"/>
    <n v="1800000"/>
    <x v="2"/>
    <s v="ALPHA RETAILERS"/>
    <s v="Alpha Retailers"/>
  </r>
  <r>
    <d v="2025-06-29T00:00:00"/>
    <s v="45837"/>
    <s v="29-Jun-2025"/>
    <s v="North  "/>
    <s v="North"/>
    <x v="2"/>
    <s v="Camera  C100"/>
    <x v="4"/>
    <s v=" PHOTOGRAPHY"/>
    <x v="2"/>
    <x v="0"/>
    <n v="175000"/>
    <s v="peter obi"/>
    <s v="Peter Obi"/>
    <n v="1400000"/>
    <x v="0"/>
    <s v="ALPHA RETAILERS"/>
    <s v="Alpha  Retailers"/>
  </r>
  <r>
    <s v="1-9mar-2025"/>
    <s v="1-9mar-2025"/>
    <s v="1-9mar-2025"/>
    <s v="South"/>
    <s v="South"/>
    <x v="0"/>
    <s v="Tablet T8 "/>
    <x v="5"/>
    <s v="Mobile "/>
    <x v="1"/>
    <x v="1"/>
    <n v="150000"/>
    <s v=" Peter Obi "/>
    <s v="Peter Obi"/>
    <n v="900000"/>
    <x v="0"/>
    <s v="FEMI TECH"/>
    <s v="Femi  Tech"/>
  </r>
  <r>
    <d v="2025-02-06T00:00:00"/>
    <s v="45694"/>
    <s v="06-Feb-2025"/>
    <s v="WEST"/>
    <s v="West"/>
    <x v="3"/>
    <s v=" laptop a15 _x0009_"/>
    <x v="0"/>
    <s v="Computers"/>
    <x v="4"/>
    <x v="9"/>
    <n v="2500000"/>
    <s v="Peter Obi."/>
    <s v="Peter Obi."/>
    <n v="50000000"/>
    <x v="0"/>
    <s v="OMEGA WHOLESALE"/>
    <s v="Omega Wholesale "/>
  </r>
  <r>
    <d v="2025-04-06T00:00:00"/>
    <s v="45753"/>
    <s v="06-Apr-2025"/>
    <s v="South "/>
    <s v="South"/>
    <x v="0"/>
    <s v="Monitor  M24"/>
    <x v="3"/>
    <s v="Peripherals  "/>
    <x v="2"/>
    <x v="13"/>
    <n v="65000"/>
    <s v="peter obi"/>
    <s v="Peter Obi"/>
    <n v="780000"/>
    <x v="0"/>
    <s v="MARYAM LTD"/>
    <s v="maryam  ltd"/>
  </r>
  <r>
    <d v="2025-02-07T00:00:00"/>
    <s v="45695"/>
    <s v="07-Feb-2025"/>
    <s v="  South "/>
    <s v="South"/>
    <x v="0"/>
    <s v="Monitor  M24 "/>
    <x v="3"/>
    <s v="Peripherals "/>
    <x v="2"/>
    <x v="8"/>
    <n v="73740"/>
    <s v=" Mary John "/>
    <s v="Mary John"/>
    <n v="294960"/>
    <x v="5"/>
    <s v="TOPE &amp; SONS"/>
    <s v="TOPE  &amp; SONS "/>
  </r>
  <r>
    <d v="2025-03-07T00:00:00"/>
    <s v="45723"/>
    <s v="07-Mar-2025"/>
    <s v=" East "/>
    <s v="East"/>
    <x v="1"/>
    <s v="CAMERA C100"/>
    <x v="4"/>
    <s v="Photography"/>
    <x v="2"/>
    <x v="3"/>
    <n v="175000"/>
    <s v=" GRACE AMOS"/>
    <s v="Grace Amos"/>
    <n v="3150000"/>
    <x v="6"/>
    <s v="BRIGHT SOLUTIONS"/>
    <s v="bright solutions"/>
  </r>
  <r>
    <d v="2025-05-07T00:00:00"/>
    <s v="45784"/>
    <s v="07-May-2025"/>
    <s v="  North"/>
    <s v="North"/>
    <x v="2"/>
    <s v=" PHONE X12 "/>
    <x v="2"/>
    <s v="mobile."/>
    <x v="1"/>
    <x v="12"/>
    <n v="180000"/>
    <s v="  mary john "/>
    <s v="Mary John"/>
    <n v="1800000"/>
    <x v="5"/>
    <s v="CHIKA MART"/>
    <s v="chkia  mart"/>
  </r>
  <r>
    <d v="2025-06-30T00:00:00"/>
    <s v="45838"/>
    <s v="30-Jun-2025"/>
    <s v="East"/>
    <s v="East"/>
    <x v="1"/>
    <s v="unknown"/>
    <x v="7"/>
    <s v="peripherals"/>
    <x v="2"/>
    <x v="12"/>
    <n v="65000"/>
    <s v="Aba Joel"/>
    <s v="Aba Joel"/>
    <n v="650000"/>
    <x v="8"/>
    <s v="MUSA ENTERPRISES"/>
    <s v=" Musa Enterprises "/>
  </r>
  <r>
    <d v="2025-02-25T00:00:00"/>
    <s v="45713"/>
    <s v="25-Feb-2025"/>
    <s v="North  "/>
    <s v="North"/>
    <x v="2"/>
    <s v="TABLET T8"/>
    <x v="5"/>
    <s v="Mobile"/>
    <x v="1"/>
    <x v="6"/>
    <n v="150000"/>
    <s v=" mary john _x0009_"/>
    <s v="Mary John _x0009_"/>
    <n v="450000"/>
    <x v="5"/>
    <s v="TOPE &amp; SONS"/>
    <s v="TOPE &amp; SONS"/>
  </r>
  <r>
    <d v="2025-01-13T00:00:00"/>
    <s v="45670"/>
    <s v="13-Jan-2025"/>
    <s v="South"/>
    <s v="South"/>
    <x v="0"/>
    <s v="  PHONE X12 "/>
    <x v="2"/>
    <s v="Mobile"/>
    <x v="1"/>
    <x v="0"/>
    <n v="180000"/>
    <s v="  AISHA BELLO"/>
    <s v="Aisha Bello"/>
    <n v="1440000"/>
    <x v="3"/>
    <s v="OMEGA WHOLESALE"/>
    <s v="Omega Wholesale"/>
  </r>
  <r>
    <d v="2025-06-15T00:00:00"/>
    <s v="45823"/>
    <s v="15-Jun-2025"/>
    <s v="South "/>
    <s v="South"/>
    <x v="0"/>
    <s v="LAPTOP A15"/>
    <x v="0"/>
    <s v=" Computers "/>
    <x v="4"/>
    <x v="6"/>
    <n v="250000"/>
    <s v=" Mary John"/>
    <s v="Mary John"/>
    <n v="750000"/>
    <x v="5"/>
    <s v="CHIKA MART"/>
    <s v="Chika  Mart "/>
  </r>
  <r>
    <d v="2025-02-28T00:00:00"/>
    <s v="45716"/>
    <s v="28-Feb-2025"/>
    <s v="  east"/>
    <s v="East"/>
    <x v="1"/>
    <s v="SPEAKER  S10 "/>
    <x v="6"/>
    <s v="Audio"/>
    <x v="3"/>
    <x v="3"/>
    <n v="85000"/>
    <s v="ifeanyi okafor "/>
    <s v="Ifeanyi Okafor"/>
    <n v="1530000"/>
    <x v="1"/>
    <s v="ALPHA RETAILERS"/>
    <s v="Alpha  Retailers"/>
  </r>
  <r>
    <d v="2025-02-19T00:00:00"/>
    <s v="45707"/>
    <s v="19-Feb-2025"/>
    <s v="west_x0009_"/>
    <s v="West_x0009_"/>
    <x v="2"/>
    <s v="Tablet  T8"/>
    <x v="5"/>
    <s v="Mobile"/>
    <x v="1"/>
    <x v="16"/>
    <n v="150000"/>
    <s v="Mary John "/>
    <s v="Mary John"/>
    <n v="1350000"/>
    <x v="5"/>
    <s v="KELVIN TECH"/>
    <s v="KELVIN TECH "/>
  </r>
  <r>
    <d v="2025-03-03T00:00:00"/>
    <s v="45719"/>
    <s v="03-Mar-2025"/>
    <s v="  east"/>
    <s v="East"/>
    <x v="1"/>
    <s v="Tablet  T8 "/>
    <x v="5"/>
    <s v=" mobile,"/>
    <x v="1"/>
    <x v="3"/>
    <n v="150000"/>
    <s v="Fola  Balogun"/>
    <s v="Fola Balogun"/>
    <n v="2700000"/>
    <x v="2"/>
    <s v="ALPHA RETAILERS"/>
    <s v="  ALPHA RETAILERS _x0009_"/>
  </r>
  <r>
    <d v="2025-04-01T00:00:00"/>
    <s v="45748"/>
    <s v="01-Apr-2025"/>
    <s v=" WEST "/>
    <s v="West"/>
    <x v="3"/>
    <s v="Tablet T8 "/>
    <x v="5"/>
    <s v="  Mobile"/>
    <x v="1"/>
    <x v="11"/>
    <n v="150000"/>
    <s v="MARY JOHN"/>
    <s v="Mary John"/>
    <n v="1650000"/>
    <x v="5"/>
    <s v="CHIKA MART"/>
    <s v="  Chika Mart "/>
  </r>
  <r>
    <d v="2025-04-07T00:00:00"/>
    <s v="45754"/>
    <s v="07-Apr-2025"/>
    <s v="South  "/>
    <s v="South"/>
    <x v="0"/>
    <s v="TV  43Q"/>
    <x v="1"/>
    <s v="ELECTRONICS"/>
    <x v="0"/>
    <x v="8"/>
    <n v="350000"/>
    <s v="grace amos,"/>
    <s v="Grace Amos,"/>
    <n v="1400000"/>
    <x v="6"/>
    <s v="JIDE SUPERSTORES"/>
    <s v="Jide Superstores "/>
  </r>
  <r>
    <d v="2025-02-26T00:00:00"/>
    <s v="45714"/>
    <s v="26-Feb-2025"/>
    <s v="South "/>
    <s v="South"/>
    <x v="0"/>
    <s v="Tablet T8"/>
    <x v="5"/>
    <s v=" mobile   "/>
    <x v="1"/>
    <x v="5"/>
    <n v="150000"/>
    <s v="Praise Odunayo"/>
    <s v="Praise Odunayo"/>
    <n v="2850000"/>
    <x v="9"/>
    <s v="KELVIN TECH"/>
    <s v=" KELVIN TECH"/>
  </r>
  <r>
    <d v="2025-06-01T00:00:00"/>
    <s v="45809"/>
    <s v="01-Jun-2025"/>
    <s v=" East "/>
    <s v="East"/>
    <x v="1"/>
    <s v="Speaker  S10"/>
    <x v="6"/>
    <s v="Audio"/>
    <x v="3"/>
    <x v="17"/>
    <n v="85000"/>
    <s v="  Aisha Bello "/>
    <s v="Aisha Bello"/>
    <n v="595000"/>
    <x v="3"/>
    <s v="BRIGHT SOLUTIONS"/>
    <s v=" BRIGHT SOLUTIONS"/>
  </r>
  <r>
    <d v="2025-01-14T00:00:00"/>
    <s v="45671"/>
    <s v="14-Jan-2025"/>
    <s v=" WEST "/>
    <s v="West"/>
    <x v="3"/>
    <s v="monitor  m24"/>
    <x v="3"/>
    <s v=" PERIPHERALS"/>
    <x v="2"/>
    <x v="18"/>
    <n v="57912"/>
    <s v=" fola balogun"/>
    <s v="Fola Balogun"/>
    <n v="752856"/>
    <x v="2"/>
    <s v="FEMI TECH"/>
    <s v="Femi Tech"/>
  </r>
  <r>
    <d v="2025-02-22T00:00:00"/>
    <s v="45710"/>
    <s v="22-Feb-2025"/>
    <s v="East"/>
    <s v="East"/>
    <x v="1"/>
    <s v=" Monitor M24 "/>
    <x v="3"/>
    <s v=" peripherals "/>
    <x v="2"/>
    <x v="3"/>
    <n v="650000"/>
    <s v="grace amos "/>
    <s v="Grace Amos"/>
    <n v="11700000"/>
    <x v="6"/>
    <s v="JIDE SUPERSTORES"/>
    <s v="jide superstores"/>
  </r>
  <r>
    <s v="24-amr-2025"/>
    <s v="24-amr-2025"/>
    <s v="24-amr-2025"/>
    <s v="  West"/>
    <s v="West"/>
    <x v="3"/>
    <s v="monitor m24"/>
    <x v="3"/>
    <s v="Peripherals  "/>
    <x v="2"/>
    <x v="4"/>
    <n v="65000"/>
    <s v="  aisha bello ,"/>
    <s v="Aisha Bello ,"/>
    <n v="325000"/>
    <x v="3"/>
    <s v="KELVIN TECH"/>
    <s v="  Kelvin Tech "/>
  </r>
  <r>
    <d v="2025-01-27T00:00:00"/>
    <s v="45684"/>
    <s v="27-Jan-2025"/>
    <s v="South"/>
    <s v="South"/>
    <x v="0"/>
    <s v="TV  43Q"/>
    <x v="1"/>
    <s v=" Electronics"/>
    <x v="0"/>
    <x v="18"/>
    <n v="350000"/>
    <s v="Chinedu Nwosu"/>
    <s v="Chinedu Nwosu"/>
    <n v="4550000"/>
    <x v="4"/>
    <s v="FEMI TECH"/>
    <s v=" FEMI TECH"/>
  </r>
  <r>
    <s v="04-jna-2025"/>
    <s v="04-jna-2025"/>
    <s v="04-jna-2025"/>
    <s v=" West"/>
    <s v="West"/>
    <x v="3"/>
    <s v="tv  43q "/>
    <x v="1"/>
    <s v="Electronics"/>
    <x v="0"/>
    <x v="5"/>
    <n v="350000"/>
    <s v="IFEANYI OKAFOR ."/>
    <s v="Ifeanyi Okafor ."/>
    <n v="6650000"/>
    <x v="1"/>
    <s v="JIDE SUPERSTORES"/>
    <s v="JIDE SUPERSTORES ,"/>
  </r>
  <r>
    <d v="2025-03-08T00:00:00"/>
    <s v="45724"/>
    <s v="08-Mar-2025"/>
    <s v="North  "/>
    <s v="North"/>
    <x v="2"/>
    <s v="phone x12 "/>
    <x v="2"/>
    <s v=" Mobile"/>
    <x v="1"/>
    <x v="16"/>
    <n v="180000"/>
    <s v="aisha  bello"/>
    <s v="Aisha Bello"/>
    <n v="1620000"/>
    <x v="3"/>
    <s v="ADEWALES STORES"/>
    <s v=" adewales tores "/>
  </r>
  <r>
    <d v="2025-01-23T00:00:00"/>
    <s v="45680"/>
    <s v="23-Jan-2025"/>
    <s v="East  "/>
    <s v="East"/>
    <x v="1"/>
    <s v="Tablet T8_x0009_"/>
    <x v="5"/>
    <s v="MOBILE"/>
    <x v="1"/>
    <x v="12"/>
    <n v="150000"/>
    <s v="Chinedu  Nwosu,"/>
    <s v="Chinedu Nwosu,"/>
    <n v="1500000"/>
    <x v="4"/>
    <s v="MARYAM LTD"/>
    <s v="maryam ltd "/>
  </r>
  <r>
    <d v="2025-01-16T00:00:00"/>
    <s v="45673"/>
    <s v="16-Jan-2025"/>
    <s v=" EAST"/>
    <s v="East"/>
    <x v="1"/>
    <s v="Speaker  S10"/>
    <x v="6"/>
    <s v="audio "/>
    <x v="3"/>
    <x v="12"/>
    <n v="85000"/>
    <s v="aisha  bello"/>
    <s v="Aisha Bello"/>
    <n v="850000"/>
    <x v="3"/>
    <s v="KELVIN TECH"/>
    <s v="Kelvin  Tech"/>
  </r>
  <r>
    <s v="05F-eb-2025"/>
    <s v="05F-eb-2025"/>
    <s v="05F-eb-2025"/>
    <s v="Sout_x0009_h"/>
    <s v="Sout_x0009_H"/>
    <x v="2"/>
    <s v="laptop  a15"/>
    <x v="0"/>
    <s v="COMPUTERS   "/>
    <x v="4"/>
    <x v="4"/>
    <n v="25000"/>
    <s v=" aisha bello"/>
    <s v="Aisha Bello"/>
    <n v="125000"/>
    <x v="3"/>
    <s v="ZAINAB GLOBAL"/>
    <s v="zainab global"/>
  </r>
  <r>
    <d v="2025-05-25T00:00:00"/>
    <s v="45802"/>
    <s v="25-May-2025"/>
    <s v="East"/>
    <s v="East"/>
    <x v="1"/>
    <s v="TABLET T8"/>
    <x v="5"/>
    <s v="MOBILE"/>
    <x v="1"/>
    <x v="10"/>
    <n v="150000"/>
    <s v="GRACE AMOS "/>
    <s v="Grace Amos"/>
    <n v="150000"/>
    <x v="6"/>
    <s v="MUSA ENTERPRISES"/>
    <s v="Musa Enterprises"/>
  </r>
  <r>
    <d v="2025-01-06T00:00:00"/>
    <s v="45663"/>
    <s v="06-Jan-2025"/>
    <s v="  south"/>
    <s v="South"/>
    <x v="0"/>
    <s v="  TABLET T8 "/>
    <x v="5"/>
    <s v=" Mobile "/>
    <x v="1"/>
    <x v="9"/>
    <n v="150000"/>
    <s v="  aisha bello"/>
    <s v="Aisha Bello"/>
    <n v="3000000"/>
    <x v="3"/>
    <s v="EMEKA TRADERS"/>
    <s v="Emeka  Traders"/>
  </r>
  <r>
    <d v="2025-02-06T00:00:00"/>
    <s v="45694"/>
    <s v="06-Feb-2025"/>
    <s v="  south _x0009_"/>
    <s v="South _x0009_"/>
    <x v="2"/>
    <s v="TV 43Q"/>
    <x v="1"/>
    <s v="EELCTRONICS"/>
    <x v="0"/>
    <x v="11"/>
    <n v="350000"/>
    <s v="  CHINEDU NWOSU"/>
    <s v="Chinedu Nwosu"/>
    <n v="3850000"/>
    <x v="4"/>
    <s v="TOLA VENTURES"/>
    <s v="Tola  Ventures"/>
  </r>
  <r>
    <d v="2025-01-14T00:00:00"/>
    <s v="45671"/>
    <s v="14-Jan-2025"/>
    <s v=" EAST,"/>
    <s v="East,"/>
    <x v="1"/>
    <s v="  Laptop A15"/>
    <x v="0"/>
    <s v="Computers  "/>
    <x v="4"/>
    <x v="2"/>
    <n v="250000"/>
    <s v="  chinedu nwosu "/>
    <s v="Chinedu Nwosu"/>
    <n v="3500000"/>
    <x v="4"/>
    <s v="CHIKA MART"/>
    <s v="CHIKA MART"/>
  </r>
  <r>
    <d v="2025-05-02T00:00:00"/>
    <s v="45779"/>
    <s v="02-May-2025"/>
    <s v="WES_x0009_T"/>
    <s v="Wes_x0009_T"/>
    <x v="2"/>
    <s v="Tablet T8"/>
    <x v="5"/>
    <s v="Mobile"/>
    <x v="1"/>
    <x v="6"/>
    <n v="150000"/>
    <s v="Aisha Bello ,"/>
    <s v="Aisha Bello ,"/>
    <n v="450000"/>
    <x v="3"/>
    <s v="BRIGHT SOLUTIONS"/>
    <s v="bright solutions"/>
  </r>
  <r>
    <d v="2205-06-17T00:00:00"/>
    <s v="111568"/>
    <s v="17-Jun-2205"/>
    <s v="East"/>
    <s v="East"/>
    <x v="1"/>
    <s v="SPEAKER S10_x0009_"/>
    <x v="6"/>
    <s v="Audio"/>
    <x v="3"/>
    <x v="1"/>
    <n v="85000"/>
    <s v="Fola Balogun"/>
    <s v="Fola Balogun"/>
    <n v="510000"/>
    <x v="2"/>
    <s v="EMEKA TRADERS"/>
    <s v="  emeka traders"/>
  </r>
  <r>
    <d v="2025-01-13T00:00:00"/>
    <s v="45670"/>
    <s v="13-Jan-2025"/>
    <s v="West."/>
    <s v="West."/>
    <x v="3"/>
    <s v="TV 43Q"/>
    <x v="1"/>
    <s v="ELECTRONICS"/>
    <x v="0"/>
    <x v="15"/>
    <n v="350000"/>
    <s v="  Chinedu Nwosu"/>
    <s v="Chinedu Nwosu"/>
    <n v="5250000"/>
    <x v="4"/>
    <s v="TOLA VENTURES"/>
    <s v=" Tola Ventuers "/>
  </r>
  <r>
    <d v="2025-06-02T00:00:00"/>
    <s v="45810"/>
    <s v="02-Jun-2025"/>
    <s v=" North"/>
    <s v="North"/>
    <x v="2"/>
    <s v="Tablet T8"/>
    <x v="5"/>
    <s v=" MOBILE"/>
    <x v="1"/>
    <x v="19"/>
    <n v="150000"/>
    <s v="Ifeanyi Okafor "/>
    <s v="Ifeanyi Okafor"/>
    <n v="2400000"/>
    <x v="1"/>
    <s v="CHIKA MART"/>
    <s v="CHIKA MART"/>
  </r>
  <r>
    <d v="2025-02-16T00:00:00"/>
    <s v="45704"/>
    <s v="16-Feb-2025"/>
    <s v=" East "/>
    <s v="East"/>
    <x v="1"/>
    <s v="CAMERA C100,"/>
    <x v="4"/>
    <s v="Photography,"/>
    <x v="2"/>
    <x v="0"/>
    <n v="175000"/>
    <s v="peter obi "/>
    <s v="Peter Obi"/>
    <n v="1400000"/>
    <x v="0"/>
    <s v="BRIGHT SOLUTIONS"/>
    <s v="BRIGHT SOLUTIONS"/>
  </r>
  <r>
    <s v="14-APR-2025."/>
    <s v="14-APR-2025."/>
    <s v="14-APR-2025."/>
    <s v="South  "/>
    <s v="South"/>
    <x v="0"/>
    <s v=" Speaker S10"/>
    <x v="6"/>
    <s v="AUDIO "/>
    <x v="3"/>
    <x v="7"/>
    <n v="85000"/>
    <s v="  chinedu nwosu"/>
    <s v="Chinedu Nwosu"/>
    <n v="170000"/>
    <x v="4"/>
    <s v="KELVIN TECH"/>
    <s v="Kelvin Tech "/>
  </r>
  <r>
    <d v="2025-01-06T00:00:00"/>
    <s v="45663"/>
    <s v="06-Jan-2025"/>
    <s v="North"/>
    <s v="North"/>
    <x v="2"/>
    <s v="Laptop A15 "/>
    <x v="0"/>
    <s v=" COMPUTERS "/>
    <x v="4"/>
    <x v="18"/>
    <n v="250000"/>
    <s v="  Grace Amos ."/>
    <s v="Grace Amos ."/>
    <n v="3250000"/>
    <x v="6"/>
    <s v="CHIKA MART"/>
    <s v="Chika Mart"/>
  </r>
  <r>
    <d v="2025-01-11T00:00:00"/>
    <s v="45668"/>
    <s v="11-Jan-2025"/>
    <s v="WEST"/>
    <s v="West"/>
    <x v="3"/>
    <s v=" Monitor M24 "/>
    <x v="3"/>
    <s v="peripherals"/>
    <x v="2"/>
    <x v="11"/>
    <n v="65000"/>
    <s v="Chinedu Nwosu "/>
    <s v="Chinedu Nwosu"/>
    <n v="715000"/>
    <x v="4"/>
    <s v="TOLA VENTURES"/>
    <s v=" TOLA VENTURES"/>
  </r>
  <r>
    <d v="2025-06-17T00:00:00"/>
    <s v="45825"/>
    <s v="17-Jun-2025"/>
    <s v=" south,"/>
    <s v="South,"/>
    <x v="0"/>
    <s v=" Tv 43Q "/>
    <x v="1"/>
    <s v=" ELECTRONICS_x0009_"/>
    <x v="0"/>
    <x v="14"/>
    <n v="3500"/>
    <s v="Chinedu  Nwosu "/>
    <s v="Chinedu Nwosu"/>
    <n v="59500"/>
    <x v="4"/>
    <s v="OMEGA WHOLESALE"/>
    <s v="Omega  Wholesale "/>
  </r>
  <r>
    <d v="2025-01-14T00:00:00"/>
    <s v="45671"/>
    <s v="14-Jan-2025"/>
    <s v="WEST"/>
    <s v="West"/>
    <x v="3"/>
    <s v=" monitor m24"/>
    <x v="3"/>
    <s v="PERIPHERALS "/>
    <x v="2"/>
    <x v="3"/>
    <n v="65000"/>
    <s v="Chinedu Nwosu"/>
    <s v="Chinedu Nwosu"/>
    <n v="1170000"/>
    <x v="4"/>
    <s v="FEMI TECH"/>
    <s v="Femi Tech "/>
  </r>
  <r>
    <d v="2025-05-29T00:00:00"/>
    <s v="45806"/>
    <s v="29-May-2025"/>
    <s v=" East "/>
    <s v="East"/>
    <x v="1"/>
    <s v="PHONE  X12"/>
    <x v="2"/>
    <s v="MOBILE"/>
    <x v="1"/>
    <x v="18"/>
    <n v="180000"/>
    <s v=" Grace Amos "/>
    <s v="Grace Amos"/>
    <n v="2340000"/>
    <x v="6"/>
    <s v="ZAINAB GLOBAL"/>
    <s v="zianab  global ,"/>
  </r>
  <r>
    <d v="2025-03-15T00:00:00"/>
    <s v="45731"/>
    <s v="15-Mar-2025"/>
    <s v="South"/>
    <s v="South"/>
    <x v="0"/>
    <s v="Camer aC100"/>
    <x v="4"/>
    <s v="PHOTOGRAPHY"/>
    <x v="2"/>
    <x v="12"/>
    <n v="175000"/>
    <s v="AISHA BELLO"/>
    <s v="Aisha Bello"/>
    <n v="1750000"/>
    <x v="3"/>
    <s v="JIDE SUPERSTORES"/>
    <s v=" Jide Superstores   "/>
  </r>
  <r>
    <d v="2025-03-26T00:00:00"/>
    <s v="45742"/>
    <s v="26-Mar-2025"/>
    <s v="East  "/>
    <s v="East"/>
    <x v="1"/>
    <s v="SPEAKER  S10 "/>
    <x v="6"/>
    <s v="audio  "/>
    <x v="3"/>
    <x v="4"/>
    <n v="85000"/>
    <s v="GRACE AMOS"/>
    <s v="Grace Amos"/>
    <n v="425000"/>
    <x v="6"/>
    <s v="ADEWALES STORES"/>
    <s v="Adewale  Stores  "/>
  </r>
  <r>
    <d v="2025-01-12T00:00:00"/>
    <s v="45669"/>
    <s v="12-Jan-2025"/>
    <s v=" North"/>
    <s v="North"/>
    <x v="2"/>
    <s v="tv 43q"/>
    <x v="1"/>
    <s v="  Electronics "/>
    <x v="0"/>
    <x v="14"/>
    <n v="350000"/>
    <s v=" Mary John "/>
    <s v="Mary John"/>
    <n v="5950000"/>
    <x v="5"/>
    <s v="EMEKA TRADERS"/>
    <s v="  emeka tarders"/>
  </r>
  <r>
    <d v="2025-01-23T00:00:00"/>
    <s v="45680"/>
    <s v="23-Jan-2025"/>
    <s v="Norht"/>
    <s v="Norht"/>
    <x v="2"/>
    <s v="  tv 43q"/>
    <x v="1"/>
    <s v="Electronics"/>
    <x v="0"/>
    <x v="18"/>
    <n v="350000"/>
    <s v="  fola balogun"/>
    <s v="Fola Balogun"/>
    <n v="4550000"/>
    <x v="2"/>
    <s v="EMEKA TRADERS"/>
    <s v="Emeka Tradesr"/>
  </r>
  <r>
    <d v="2025-05-05T00:00:00"/>
    <s v="45782"/>
    <s v="05-May-2025"/>
    <s v="North"/>
    <s v="North"/>
    <x v="2"/>
    <s v="Tv 43Q  "/>
    <x v="1"/>
    <s v=" ELECTRONICS "/>
    <x v="0"/>
    <x v="0"/>
    <n v="350000"/>
    <s v="ifeanyi  okafor"/>
    <s v="Ifeanyi Okafor"/>
    <n v="2800000"/>
    <x v="1"/>
    <s v="MARYAM LTD"/>
    <s v="Maryam Ltd"/>
  </r>
  <r>
    <d v="2025-05-19T00:00:00"/>
    <s v="45796"/>
    <s v="19-May-2025"/>
    <s v=" SOUTH "/>
    <s v="South"/>
    <x v="0"/>
    <s v="SPEAKER S10"/>
    <x v="6"/>
    <s v="  Audio "/>
    <x v="3"/>
    <x v="18"/>
    <n v="85000"/>
    <s v="aisha bello   "/>
    <s v="Aisha Bello"/>
    <n v="1105000"/>
    <x v="3"/>
    <s v="MARYAM LTD"/>
    <s v="Maryam Ltd"/>
  </r>
  <r>
    <s v="04A-pr-2025"/>
    <s v="04A-pr-2025"/>
    <s v="04A-pr-2025"/>
    <s v="  EAST"/>
    <s v="East"/>
    <x v="1"/>
    <s v="TABLET  T8"/>
    <x v="5"/>
    <s v="Mobile ."/>
    <x v="1"/>
    <x v="14"/>
    <n v="150000"/>
    <s v=" FOLA BALOGUN  "/>
    <s v="Fola Balogun"/>
    <n v="2550000"/>
    <x v="2"/>
    <s v="MUSA ENTERPRISES"/>
    <s v=" Musa Enterprises"/>
  </r>
  <r>
    <d v="2025-02-26T00:00:00"/>
    <s v="45714"/>
    <s v="26-Feb-2025"/>
    <s v=" South"/>
    <s v="South"/>
    <x v="0"/>
    <s v="monitor m24,"/>
    <x v="3"/>
    <s v=" Peripherals"/>
    <x v="2"/>
    <x v="5"/>
    <n v="65000"/>
    <s v="Grace Amos "/>
    <s v="Grace Amos"/>
    <n v="1235000"/>
    <x v="6"/>
    <s v="FEMI TECH"/>
    <s v="femi tech"/>
  </r>
  <r>
    <d v="2025-06-03T00:00:00"/>
    <s v="45811"/>
    <s v="03-Jun-2025"/>
    <s v="North  "/>
    <s v="North"/>
    <x v="2"/>
    <s v="Tablet  T8"/>
    <x v="5"/>
    <s v="mobile"/>
    <x v="1"/>
    <x v="10"/>
    <n v="150000"/>
    <s v=" Grace Amos "/>
    <s v="Grace Amos"/>
    <n v="150000"/>
    <x v="6"/>
    <s v="ADEWALES STORES"/>
    <s v=" adewale stores "/>
  </r>
  <r>
    <d v="2025-04-05T00:00:00"/>
    <s v="45752"/>
    <s v="05-Apr-2025"/>
    <s v="east"/>
    <s v="East"/>
    <x v="1"/>
    <s v="laptop  a15"/>
    <x v="0"/>
    <s v=" COMPUTERS"/>
    <x v="4"/>
    <x v="18"/>
    <n v="250000"/>
    <s v=" Chinedu Nwosu "/>
    <s v="Chinedu Nwosu"/>
    <n v="3250000"/>
    <x v="4"/>
    <s v="MARYAM LTD"/>
    <s v="maryam ltd "/>
  </r>
  <r>
    <d v="2025-01-30T00:00:00"/>
    <s v="45687"/>
    <s v="30-Jan-2025"/>
    <s v="  east"/>
    <s v="East"/>
    <x v="1"/>
    <s v="MONITOR  M24"/>
    <x v="3"/>
    <s v="Perpiherals  "/>
    <x v="2"/>
    <x v="3"/>
    <n v="65000"/>
    <s v="  CHINEDU NWOSU"/>
    <s v="Chinedu Nwosu"/>
    <n v="1170000"/>
    <x v="4"/>
    <s v="TOPE &amp; SONS"/>
    <s v="TOPE &amp; SONS"/>
  </r>
  <r>
    <d v="2025-01-31T00:00:00"/>
    <s v="45688"/>
    <s v="31-Jan-2025"/>
    <s v=" North "/>
    <s v="North"/>
    <x v="2"/>
    <s v="laptop a15 "/>
    <x v="0"/>
    <s v=" Comupters"/>
    <x v="4"/>
    <x v="9"/>
    <n v="250000"/>
    <s v=" AISHA BELLO "/>
    <s v="Aisha Bello"/>
    <n v="5000000"/>
    <x v="3"/>
    <s v="OMEGA WHOLESALE"/>
    <s v="OMEGA WHOLESALE "/>
  </r>
  <r>
    <s v="27-MAY-0225"/>
    <s v="27-MAY-0225"/>
    <s v="27-MAY-0225"/>
    <s v="East"/>
    <s v="East"/>
    <x v="1"/>
    <s v="phone x12 "/>
    <x v="2"/>
    <s v="Mobile"/>
    <x v="1"/>
    <x v="8"/>
    <n v="180000"/>
    <s v="Aisha Bello "/>
    <s v="Aisha Bello"/>
    <n v="720000"/>
    <x v="3"/>
    <s v="MUSA ENTERPRISES"/>
    <s v="Musa  Enterprises"/>
  </r>
  <r>
    <s v="08-pAr-2025"/>
    <s v="08-pAr-2025"/>
    <s v="08-pAr-2025"/>
    <s v=" South"/>
    <s v="South"/>
    <x v="0"/>
    <s v="Tablet  T8"/>
    <x v="5"/>
    <s v="mobile"/>
    <x v="1"/>
    <x v="4"/>
    <n v="150000"/>
    <s v="Chinedu  Nwosu "/>
    <s v="Chinedu Nwosu"/>
    <n v="750000"/>
    <x v="4"/>
    <s v="ALPHA RETAILERS"/>
    <s v="Alpha Retailers "/>
  </r>
  <r>
    <d v="2025-02-13T00:00:00"/>
    <s v="45701"/>
    <s v="13-Feb-2025"/>
    <s v="West"/>
    <s v="West"/>
    <x v="3"/>
    <s v=" Laptop A15"/>
    <x v="0"/>
    <s v=" COMPUTERS"/>
    <x v="4"/>
    <x v="11"/>
    <n v="2500000"/>
    <s v="fola balogun"/>
    <s v="Fola Balogun"/>
    <n v="27500000"/>
    <x v="2"/>
    <s v="OMEGA WHOLESALE"/>
    <s v="Omega  Wholesale"/>
  </r>
  <r>
    <s v="09-aMr-2025"/>
    <s v="09-aMr-2025"/>
    <s v="09-aMr-2025"/>
    <s v="East"/>
    <s v="East"/>
    <x v="1"/>
    <s v="Laptop  A15 _x0009_"/>
    <x v="0"/>
    <s v="  Computers "/>
    <x v="4"/>
    <x v="9"/>
    <n v="250000"/>
    <s v="IFEANYI O KAFOR _x0009_"/>
    <s v="Ifeanyi O Kafor _x0009_"/>
    <n v="5000000"/>
    <x v="1"/>
    <s v="FEMI TECH"/>
    <s v="femi  tech ,"/>
  </r>
  <r>
    <d v="2052-02-20T00:00:00"/>
    <s v="55569"/>
    <s v="20-Feb-2052"/>
    <s v="  west"/>
    <s v="West"/>
    <x v="3"/>
    <s v="Speaker  S10 "/>
    <x v="6"/>
    <s v="AUDIO"/>
    <x v="3"/>
    <x v="17"/>
    <n v="89233"/>
    <s v=" fola balogun,"/>
    <s v="Fola Balogun,"/>
    <n v="624631"/>
    <x v="2"/>
    <s v="FEMI TECH"/>
    <s v="FEMI  TECH"/>
  </r>
  <r>
    <d v="2025-02-19T00:00:00"/>
    <s v="45707"/>
    <s v="19-Feb-2025"/>
    <s v="EAST ,"/>
    <s v="East ,"/>
    <x v="1"/>
    <s v="Laptop A15  "/>
    <x v="0"/>
    <s v=" COMPUTRES"/>
    <x v="4"/>
    <x v="4"/>
    <n v="250000"/>
    <s v="Mary  John"/>
    <s v="Mary John"/>
    <n v="1250000"/>
    <x v="5"/>
    <s v="TOPE &amp; SONS"/>
    <s v="TOEP &amp; SONS "/>
  </r>
  <r>
    <d v="2025-04-10T00:00:00"/>
    <s v="45757"/>
    <s v="10-Apr-2025"/>
    <s v="East "/>
    <s v="East"/>
    <x v="1"/>
    <s v="Camera C100,"/>
    <x v="4"/>
    <s v="PHOTOGRAPHY"/>
    <x v="2"/>
    <x v="5"/>
    <n v="175000"/>
    <s v="Mary John"/>
    <s v="Mary John"/>
    <n v="3325000"/>
    <x v="5"/>
    <s v="KELVIN TECH"/>
    <s v=" Kelvin Tech"/>
  </r>
  <r>
    <d v="2025-05-21T00:00:00"/>
    <s v="45798"/>
    <s v="21-May-2025"/>
    <s v="east"/>
    <s v="East"/>
    <x v="1"/>
    <s v="TV  43Q "/>
    <x v="1"/>
    <s v="Electronics"/>
    <x v="0"/>
    <x v="2"/>
    <n v="350000"/>
    <s v="GRACE AMOS   "/>
    <s v="Grace Amos"/>
    <n v="4900000"/>
    <x v="6"/>
    <s v="MUSA ENTERPRISES"/>
    <s v=" MUSA ENTERPRISES "/>
  </r>
  <r>
    <d v="2025-06-26T00:00:00"/>
    <s v="45834"/>
    <s v="26-Jun-2025"/>
    <s v="east"/>
    <s v="East"/>
    <x v="1"/>
    <s v="Camera C100   "/>
    <x v="4"/>
    <s v="  Photography"/>
    <x v="2"/>
    <x v="9"/>
    <n v="175000"/>
    <s v=" MARY JOHN ."/>
    <s v="Mary John ."/>
    <n v="3500000"/>
    <x v="5"/>
    <s v="BRIGHT SOLUTIONS"/>
    <s v="Bright Solutions  "/>
  </r>
  <r>
    <d v="2025-02-20T00:00:00"/>
    <s v="45708"/>
    <s v="20-Feb-2025"/>
    <s v="  South"/>
    <s v="South"/>
    <x v="0"/>
    <s v="SPEAKER S10"/>
    <x v="6"/>
    <s v="audio ."/>
    <x v="3"/>
    <x v="3"/>
    <n v="85000"/>
    <s v="  Peter Obi"/>
    <s v="Peter Obi"/>
    <n v="1530000"/>
    <x v="0"/>
    <s v="TOLA VENTURES"/>
    <s v=" TOLA VENTURES "/>
  </r>
  <r>
    <s v="27-Ju-n2025"/>
    <s v="27-Ju-n2025"/>
    <s v="27-Ju-n2025"/>
    <s v="north_x0009_"/>
    <s v="North_x0009_"/>
    <x v="2"/>
    <s v="camera  c100 "/>
    <x v="4"/>
    <s v="Photography  "/>
    <x v="2"/>
    <x v="14"/>
    <n v="175000"/>
    <s v=" IFEANYI OKAFOR "/>
    <s v="Ifeanyi Okafor"/>
    <n v="2975000"/>
    <x v="1"/>
    <s v="EMEKA TRADERS"/>
    <s v="  emeka traders "/>
  </r>
  <r>
    <d v="2025-02-05T00:00:00"/>
    <s v="45693"/>
    <s v="05-Feb-2025"/>
    <s v="South"/>
    <s v="South"/>
    <x v="0"/>
    <s v="LAPTOP A15"/>
    <x v="0"/>
    <s v=" COMPUTERS"/>
    <x v="4"/>
    <x v="9"/>
    <n v="250000"/>
    <s v="Fola Balogun"/>
    <s v="Fola Balogun"/>
    <n v="5000000"/>
    <x v="2"/>
    <s v="MUSA ENTERPRISES"/>
    <s v="Musa Enterprises"/>
  </r>
  <r>
    <d v="2025-06-07T00:00:00"/>
    <s v="45815"/>
    <s v="07-Jun-2025"/>
    <s v="SOUTH"/>
    <s v="South"/>
    <x v="0"/>
    <s v="TV 43Q"/>
    <x v="1"/>
    <s v="Electronics"/>
    <x v="0"/>
    <x v="9"/>
    <n v="350000"/>
    <s v=" peter obi "/>
    <s v="Peter Obi"/>
    <n v="7000000"/>
    <x v="0"/>
    <s v="FEMI TECH"/>
    <s v="femi  tech"/>
  </r>
  <r>
    <d v="2025-05-13T00:00:00"/>
    <s v="45790"/>
    <s v="13-May-2025"/>
    <s v=" WEST"/>
    <s v="West"/>
    <x v="3"/>
    <s v="TABLET T8 "/>
    <x v="5"/>
    <s v=" Mobile  "/>
    <x v="1"/>
    <x v="3"/>
    <n v="150000"/>
    <s v="grace amos_x0009_"/>
    <s v="Grace Amos_x0009_"/>
    <n v="2700000"/>
    <x v="6"/>
    <s v="ALPHA RETAILERS"/>
    <s v="ALPHA RETAIL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508336-C553-4E42-BA19-4CC42D4E3FB9}"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1:B40" firstHeaderRow="1" firstDataRow="1" firstDataCol="1" rowPageCount="1" colPageCount="1"/>
  <pivotFields count="18">
    <pivotField showAll="0"/>
    <pivotField showAll="0"/>
    <pivotField showAll="0"/>
    <pivotField showAll="0"/>
    <pivotField showAll="0"/>
    <pivotField multipleItemSelectionAllowed="1" showAll="0"/>
    <pivotField showAll="0"/>
    <pivotField axis="axisRow" showAll="0" sortType="descending">
      <items count="9">
        <item x="4"/>
        <item x="0"/>
        <item x="3"/>
        <item x="2"/>
        <item x="6"/>
        <item x="5"/>
        <item x="1"/>
        <item x="7"/>
        <item t="default"/>
      </items>
      <autoSortScope>
        <pivotArea dataOnly="0" outline="0" fieldPosition="0">
          <references count="1">
            <reference field="4294967294" count="1" selected="0">
              <x v="0"/>
            </reference>
          </references>
        </pivotArea>
      </autoSortScope>
    </pivotField>
    <pivotField showAll="0"/>
    <pivotField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axis="axisPage" multipleItemSelectionAllowed="1" showAll="0">
      <items count="21">
        <item x="10"/>
        <item x="7"/>
        <item x="6"/>
        <item x="8"/>
        <item x="4"/>
        <item x="1"/>
        <item x="17"/>
        <item x="0"/>
        <item x="16"/>
        <item x="12"/>
        <item x="11"/>
        <item x="13"/>
        <item x="18"/>
        <item x="2"/>
        <item x="15"/>
        <item x="19"/>
        <item x="14"/>
        <item x="3"/>
        <item x="5"/>
        <item x="9"/>
        <item t="default"/>
      </items>
    </pivotField>
    <pivotField showAll="0"/>
    <pivotField showAll="0"/>
    <pivotField showAll="0"/>
    <pivotField dataField="1" numFmtId="43" showAll="0"/>
    <pivotField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9">
    <i>
      <x v="1"/>
    </i>
    <i>
      <x v="6"/>
    </i>
    <i>
      <x v="5"/>
    </i>
    <i>
      <x/>
    </i>
    <i>
      <x v="2"/>
    </i>
    <i>
      <x v="3"/>
    </i>
    <i>
      <x v="4"/>
    </i>
    <i>
      <x v="7"/>
    </i>
    <i t="grand">
      <x/>
    </i>
  </rowItems>
  <colItems count="1">
    <i/>
  </colItems>
  <pageFields count="1">
    <pageField fld="10" hier="-1"/>
  </pageFields>
  <dataFields count="1">
    <dataField name="Sum of TOTAL REVENUE" fld="14" baseField="0" baseItem="0" numFmtId="43"/>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D27654-D1F6-4180-A560-2E71CE501A2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showAll="0"/>
    <pivotField showAll="0"/>
    <pivotField showAll="0"/>
  </pivotFields>
  <rowItems count="1">
    <i/>
  </rowItems>
  <colItems count="1">
    <i/>
  </colItems>
  <dataFields count="1">
    <dataField name="Sum of TOTAL REVENUE" fld="14" baseField="0" baseItem="569431088" numFmtId="43"/>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538BDB-AB47-4D12-8204-A9823F136A3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7:E12" firstHeaderRow="1" firstDataRow="1" firstDataCol="1"/>
  <pivotFields count="18">
    <pivotField showAll="0"/>
    <pivotField showAll="0"/>
    <pivotField showAll="0"/>
    <pivotField showAll="0"/>
    <pivotField showAll="0"/>
    <pivotField axis="axisRow" showAll="0">
      <items count="5">
        <item x="1"/>
        <item x="2"/>
        <item x="0"/>
        <item x="3"/>
        <item t="default"/>
      </items>
    </pivotField>
    <pivotField showAll="0"/>
    <pivotField showAll="0"/>
    <pivotField showAll="0"/>
    <pivotField showAll="0">
      <items count="6">
        <item x="3"/>
        <item x="4"/>
        <item x="0"/>
        <item x="1"/>
        <item x="2"/>
        <item t="default"/>
      </items>
    </pivotField>
    <pivotField dataField="1" showAll="0"/>
    <pivotField showAll="0"/>
    <pivotField showAll="0"/>
    <pivotField showAll="0"/>
    <pivotField numFmtId="43" showAll="0"/>
    <pivotField showAll="0">
      <items count="11">
        <item x="8"/>
        <item x="3"/>
        <item x="4"/>
        <item x="2"/>
        <item x="6"/>
        <item x="1"/>
        <item x="7"/>
        <item x="5"/>
        <item x="0"/>
        <item x="9"/>
        <item t="default"/>
      </items>
    </pivotField>
    <pivotField showAll="0"/>
    <pivotField showAll="0"/>
  </pivotFields>
  <rowFields count="1">
    <field x="5"/>
  </rowFields>
  <rowItems count="5">
    <i>
      <x/>
    </i>
    <i>
      <x v="1"/>
    </i>
    <i>
      <x v="2"/>
    </i>
    <i>
      <x v="3"/>
    </i>
    <i t="grand">
      <x/>
    </i>
  </rowItems>
  <colItems count="1">
    <i/>
  </colItems>
  <dataFields count="1">
    <dataField name="Sum of UNIT SOLD" fld="10" baseField="0" baseItem="0"/>
  </dataFields>
  <formats count="1">
    <format dxfId="2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 chart="1" format="4">
      <pivotArea type="data" outline="0" fieldPosition="0">
        <references count="2">
          <reference field="4294967294" count="1" selected="0">
            <x v="0"/>
          </reference>
          <reference field="5" count="1" selected="0">
            <x v="2"/>
          </reference>
        </references>
      </pivotArea>
    </chartFormat>
    <chartFormat chart="1" format="5">
      <pivotArea type="data" outline="0" fieldPosition="0">
        <references count="2">
          <reference field="4294967294" count="1" selected="0">
            <x v="0"/>
          </reference>
          <reference field="5"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2CB151-A1DD-40FC-86E7-0014F41ED675}"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16:F25" firstHeaderRow="1" firstDataRow="1" firstDataCol="1" rowPageCount="1" colPageCount="1"/>
  <pivotFields count="18">
    <pivotField showAll="0"/>
    <pivotField showAll="0"/>
    <pivotField showAll="0"/>
    <pivotField showAll="0"/>
    <pivotField showAll="0"/>
    <pivotField axis="axisPage" multipleItemSelectionAllowed="1" showAll="0">
      <items count="5">
        <item x="1"/>
        <item x="2"/>
        <item x="0"/>
        <item x="3"/>
        <item t="default"/>
      </items>
    </pivotField>
    <pivotField showAll="0"/>
    <pivotField axis="axisRow" showAll="0" sortType="descending">
      <items count="9">
        <item x="4"/>
        <item x="0"/>
        <item x="3"/>
        <item x="2"/>
        <item x="6"/>
        <item x="5"/>
        <item x="1"/>
        <item x="7"/>
        <item t="default"/>
      </items>
      <autoSortScope>
        <pivotArea dataOnly="0" outline="0" fieldPosition="0">
          <references count="1">
            <reference field="4294967294" count="1" selected="0">
              <x v="0"/>
            </reference>
          </references>
        </pivotArea>
      </autoSortScope>
    </pivotField>
    <pivotField showAll="0"/>
    <pivotField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43" showAll="0"/>
    <pivotField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9">
    <i>
      <x v="1"/>
    </i>
    <i>
      <x v="6"/>
    </i>
    <i>
      <x v="5"/>
    </i>
    <i>
      <x/>
    </i>
    <i>
      <x v="2"/>
    </i>
    <i>
      <x v="3"/>
    </i>
    <i>
      <x v="4"/>
    </i>
    <i>
      <x v="7"/>
    </i>
    <i t="grand">
      <x/>
    </i>
  </rowItems>
  <colItems count="1">
    <i/>
  </colItems>
  <pageFields count="1">
    <pageField fld="5" hier="-1"/>
  </pageFields>
  <dataFields count="1">
    <dataField name="Sum of TOTAL REVENUE" fld="14" baseField="0" baseItem="0" numFmtId="43"/>
  </dataFields>
  <formats count="1">
    <format dxfId="2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93E62E-CAF4-482B-AF0B-A33C464A41A4}"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showAll="0"/>
    <pivotField showAll="0"/>
    <pivotField showAll="0"/>
  </pivotFields>
  <rowItems count="1">
    <i/>
  </rowItems>
  <colItems count="1">
    <i/>
  </colItems>
  <dataFields count="1">
    <dataField name="Average of TOTAL REVENUE" fld="14" subtotal="average" baseField="0" baseItem="569431088" numFmtId="43"/>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5CC142-87F8-476E-AEB6-84C9BDEB80B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showAll="0"/>
    <pivotField showAll="0"/>
    <pivotField showAll="0"/>
  </pivotFields>
  <rowItems count="1">
    <i/>
  </rowItems>
  <colItems count="1">
    <i/>
  </colItems>
  <dataFields count="1">
    <dataField name="Min of TOTAL REVENUE" fld="14" subtotal="min" baseField="0" baseItem="569431088" numFmtId="43"/>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AED008-DB54-4221-8F1E-BE0D3822C51D}"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16:D27" firstHeaderRow="1" firstDataRow="1" firstDataCol="1" rowPageCount="1" colPageCount="1"/>
  <pivotFields count="18">
    <pivotField showAll="0"/>
    <pivotField showAll="0"/>
    <pivotField showAll="0"/>
    <pivotField showAll="0"/>
    <pivotField showAll="0"/>
    <pivotField axis="axisPage" multipleItemSelectionAllowed="1" showAll="0">
      <items count="5">
        <item x="1"/>
        <item x="2"/>
        <item x="0"/>
        <item x="3"/>
        <item t="default"/>
      </items>
    </pivotField>
    <pivotField showAll="0"/>
    <pivotField showAll="0"/>
    <pivotField showAll="0"/>
    <pivotField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43"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11">
    <i>
      <x v="8"/>
    </i>
    <i>
      <x v="3"/>
    </i>
    <i>
      <x v="4"/>
    </i>
    <i>
      <x v="2"/>
    </i>
    <i>
      <x v="5"/>
    </i>
    <i>
      <x v="7"/>
    </i>
    <i>
      <x v="1"/>
    </i>
    <i>
      <x v="6"/>
    </i>
    <i>
      <x v="9"/>
    </i>
    <i>
      <x/>
    </i>
    <i t="grand">
      <x/>
    </i>
  </rowItems>
  <colItems count="1">
    <i/>
  </colItems>
  <pageFields count="1">
    <pageField fld="5" hier="-1"/>
  </pageFields>
  <dataFields count="1">
    <dataField name="Sum of TOTAL REVENUE" fld="14" baseField="0" baseItem="0" numFmtId="43"/>
  </dataFields>
  <formats count="1">
    <format dxfId="2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EEE2008-F28A-480A-9ECC-3E237FD5967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43" showAll="0"/>
    <pivotField showAll="0"/>
    <pivotField showAll="0"/>
    <pivotField showAll="0"/>
  </pivotFields>
  <rowItems count="1">
    <i/>
  </rowItems>
  <colItems count="1">
    <i/>
  </colItems>
  <dataFields count="1">
    <dataField name="Max of TOTAL REVENUE" fld="14" subtotal="max" baseField="0" baseItem="569431088" numFmtId="43"/>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3F8B50-8588-468E-888F-06BFCB1BE128}"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6:B22" firstHeaderRow="1" firstDataRow="1" firstDataCol="1"/>
  <pivotFields count="18">
    <pivotField showAll="0"/>
    <pivotField showAll="0"/>
    <pivotField showAll="0"/>
    <pivotField showAll="0"/>
    <pivotField showAll="0"/>
    <pivotField showAll="0"/>
    <pivotField showAll="0"/>
    <pivotField showAll="0"/>
    <pivotField showAll="0"/>
    <pivotField axis="axisRow" showAll="0" sortType="descending">
      <items count="6">
        <item x="3"/>
        <item x="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numFmtId="43" showAll="0"/>
    <pivotField showAll="0">
      <items count="11">
        <item x="8"/>
        <item x="3"/>
        <item x="4"/>
        <item x="2"/>
        <item x="6"/>
        <item x="1"/>
        <item x="7"/>
        <item x="5"/>
        <item x="0"/>
        <item x="9"/>
        <item t="default"/>
      </items>
    </pivotField>
    <pivotField showAll="0"/>
    <pivotField showAll="0"/>
  </pivotFields>
  <rowFields count="1">
    <field x="9"/>
  </rowFields>
  <rowItems count="6">
    <i>
      <x v="1"/>
    </i>
    <i>
      <x v="2"/>
    </i>
    <i>
      <x v="3"/>
    </i>
    <i>
      <x v="4"/>
    </i>
    <i>
      <x/>
    </i>
    <i t="grand">
      <x/>
    </i>
  </rowItems>
  <colItems count="1">
    <i/>
  </colItems>
  <dataFields count="1">
    <dataField name="Sum of TOTAL REVENUE" fld="14" baseField="0" baseItem="0" numFmtId="43"/>
  </dataFields>
  <formats count="1">
    <format dxfId="31">
      <pivotArea outline="0" collapsedLevelsAreSubtotals="1" fieldPosition="0"/>
    </format>
  </formats>
  <chartFormats count="7">
    <chartFormat chart="2" format="2"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1"/>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3"/>
          </reference>
        </references>
      </pivotArea>
    </chartFormat>
    <chartFormat chart="5" format="11">
      <pivotArea type="data" outline="0" fieldPosition="0">
        <references count="2">
          <reference field="4294967294" count="1" selected="0">
            <x v="0"/>
          </reference>
          <reference field="9" count="1" selected="0">
            <x v="4"/>
          </reference>
        </references>
      </pivotArea>
    </chartFormat>
    <chartFormat chart="5" format="12">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4762DD-D410-4DBE-9EF6-ECD730FAF72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7:B12" firstHeaderRow="1" firstDataRow="1" firstDataCol="1"/>
  <pivotFields count="18">
    <pivotField showAll="0"/>
    <pivotField showAll="0"/>
    <pivotField showAll="0"/>
    <pivotField showAll="0"/>
    <pivotField showAll="0"/>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numFmtId="43" showAll="0"/>
    <pivotField showAll="0"/>
    <pivotField showAll="0"/>
    <pivotField showAll="0"/>
  </pivotFields>
  <rowFields count="1">
    <field x="5"/>
  </rowFields>
  <rowItems count="5">
    <i>
      <x v="3"/>
    </i>
    <i>
      <x/>
    </i>
    <i>
      <x v="2"/>
    </i>
    <i>
      <x v="1"/>
    </i>
    <i t="grand">
      <x/>
    </i>
  </rowItems>
  <colItems count="1">
    <i/>
  </colItems>
  <dataFields count="1">
    <dataField name="Sum of TOTAL REVENUE" fld="14" baseField="0" baseItem="0" numFmtId="43"/>
  </dataFields>
  <formats count="1">
    <format dxfId="32">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F346A5-EBD3-4BB7-BD49-89D0E2167ED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18">
    <pivotField showAll="0"/>
    <pivotField showAll="0"/>
    <pivotField showAll="0"/>
    <pivotField showAll="0"/>
    <pivotField showAll="0"/>
    <pivotField showAll="0"/>
    <pivotField showAll="0"/>
    <pivotField showAll="0"/>
    <pivotField showAll="0"/>
    <pivotField showAll="0">
      <items count="6">
        <item x="3"/>
        <item x="4"/>
        <item x="0"/>
        <item x="1"/>
        <item x="2"/>
        <item t="default"/>
      </items>
    </pivotField>
    <pivotField dataField="1" showAll="0"/>
    <pivotField showAll="0"/>
    <pivotField showAll="0"/>
    <pivotField showAll="0"/>
    <pivotField numFmtId="43" showAll="0"/>
    <pivotField showAll="0">
      <items count="11">
        <item x="8"/>
        <item x="3"/>
        <item x="4"/>
        <item x="2"/>
        <item x="6"/>
        <item x="1"/>
        <item x="7"/>
        <item x="5"/>
        <item x="0"/>
        <item x="9"/>
        <item t="default"/>
      </items>
    </pivotField>
    <pivotField showAll="0"/>
    <pivotField showAll="0"/>
  </pivotFields>
  <rowItems count="1">
    <i/>
  </rowItems>
  <colItems count="1">
    <i/>
  </colItems>
  <dataFields count="1">
    <dataField name="Sum of UNIT SOLD" fld="10" baseField="0" baseItem="0"/>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71688A-C46B-49A3-99DA-C37839044CC3}"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1:E42" firstHeaderRow="1" firstDataRow="1" firstDataCol="1" rowPageCount="1" colPageCount="1"/>
  <pivotFields count="18">
    <pivotField showAll="0"/>
    <pivotField showAll="0"/>
    <pivotField showAll="0"/>
    <pivotField showAll="0"/>
    <pivotField showAll="0"/>
    <pivotField showAll="0"/>
    <pivotField showAll="0"/>
    <pivotField axis="axisPage" multipleItemSelectionAllowed="1" showAll="0">
      <items count="9">
        <item x="4"/>
        <item x="0"/>
        <item x="3"/>
        <item x="2"/>
        <item x="6"/>
        <item x="5"/>
        <item x="1"/>
        <item x="7"/>
        <item t="default"/>
      </items>
    </pivotField>
    <pivotField showAll="0"/>
    <pivotField showAll="0">
      <items count="6">
        <item x="3"/>
        <item x="4"/>
        <item x="0"/>
        <item x="1"/>
        <item x="2"/>
        <item t="default"/>
      </items>
    </pivotField>
    <pivotField showAll="0"/>
    <pivotField showAll="0"/>
    <pivotField showAll="0"/>
    <pivotField showAll="0"/>
    <pivotField dataField="1" numFmtId="43"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 showAll="0"/>
  </pivotFields>
  <rowFields count="1">
    <field x="15"/>
  </rowFields>
  <rowItems count="11">
    <i>
      <x v="8"/>
    </i>
    <i>
      <x v="3"/>
    </i>
    <i>
      <x v="4"/>
    </i>
    <i>
      <x v="2"/>
    </i>
    <i>
      <x v="5"/>
    </i>
    <i>
      <x v="7"/>
    </i>
    <i>
      <x v="1"/>
    </i>
    <i>
      <x v="6"/>
    </i>
    <i>
      <x v="9"/>
    </i>
    <i>
      <x/>
    </i>
    <i t="grand">
      <x/>
    </i>
  </rowItems>
  <colItems count="1">
    <i/>
  </colItems>
  <pageFields count="1">
    <pageField fld="7" hier="-1"/>
  </pageFields>
  <dataFields count="1">
    <dataField name="Sum of TOTAL REVENUE" fld="14" baseField="0"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1B92B1E-4458-465E-8211-F1DD5E7477CC}" sourceName="REGION">
  <pivotTables>
    <pivotTable tabId="4" name="PivotTable10"/>
  </pivotTables>
  <data>
    <tabular pivotCacheId="577426864">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04A7353-C7C2-4419-A933-306F8BABFC19}" sourceName="PRODUCT">
  <pivotTables>
    <pivotTable tabId="4" name="PivotTable10"/>
  </pivotTables>
  <data>
    <tabular pivotCacheId="577426864">
      <items count="8">
        <i x="4" s="1"/>
        <i x="0" s="1"/>
        <i x="3" s="1"/>
        <i x="2" s="1"/>
        <i x="6"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9F6E0B8-717D-4A8E-A945-35EFAF2A10CA}" sourceName="CATEGORY">
  <pivotTables>
    <pivotTable tabId="4" name="PivotTable10"/>
    <pivotTable tabId="4" name="PivotTable11"/>
    <pivotTable tabId="4" name="PivotTable12"/>
    <pivotTable tabId="4" name="PivotTable6"/>
    <pivotTable tabId="4" name="PivotTable7"/>
    <pivotTable tabId="4" name="PivotTable8"/>
    <pivotTable tabId="4" name="PivotTable9"/>
  </pivotTables>
  <data>
    <tabular pivotCacheId="577426864">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302F865C-985F-4852-A2B4-CAC680E3973D}" sourceName="SALES REP">
  <pivotTables>
    <pivotTable tabId="4" name="PivotTable10"/>
    <pivotTable tabId="4" name="PivotTable11"/>
    <pivotTable tabId="4" name="PivotTable12"/>
    <pivotTable tabId="4" name="PivotTable6"/>
    <pivotTable tabId="4" name="PivotTable7"/>
    <pivotTable tabId="4" name="PivotTable8"/>
    <pivotTable tabId="4" name="PivotTable9"/>
  </pivotTables>
  <data>
    <tabular pivotCacheId="577426864">
      <items count="10">
        <i x="8" s="1"/>
        <i x="3" s="1"/>
        <i x="4" s="1"/>
        <i x="2" s="1"/>
        <i x="6" s="1"/>
        <i x="1" s="1"/>
        <i x="7" s="1"/>
        <i x="5" s="1"/>
        <i x="0"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86D8657-CF4E-4637-8EE5-97CDE9F01275}" cache="Slicer_REGION" caption="REGION" rowHeight="241300"/>
  <slicer name="PRODUCT" xr10:uid="{73151E13-AB12-42F0-979E-6639B0E3D84F}" cache="Slicer_PRODUCT" caption="PRODUCT" rowHeight="241300"/>
  <slicer name="CATEGORY" xr10:uid="{50AA23AE-A0AE-4EE0-BACB-0BE96ACCD1C1}" cache="Slicer_CATEGORY" caption="CATEGORY" rowHeight="241300"/>
  <slicer name="SALES REP" xr10:uid="{67DA54C6-4D12-4633-8A94-B7BED5B4F3CC}" cache="Slicer_SALES_REP" caption="SALES RE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6F60C5-EE35-4399-9BAE-C65B80A643CB}" name="Table1" displayName="Table1" ref="A1:R101" totalsRowShown="0" headerRowDxfId="56" headerRowBorderDxfId="55" tableBorderDxfId="54" totalsRowBorderDxfId="53">
  <autoFilter ref="A1:R101" xr:uid="{17C57BE8-CBB3-42F4-9D84-0DB2B54AC903}"/>
  <tableColumns count="18">
    <tableColumn id="9" xr3:uid="{B39D531B-DD25-40A4-B3CA-3483F26644DE}" name="Inconsistent date" dataDxfId="52"/>
    <tableColumn id="10" xr3:uid="{5873C3E1-8966-4DCE-8566-56650EDEA176}" name="substitute date" dataDxfId="51">
      <calculatedColumnFormula>SUBSTITUTE(Table1[[#This Row],[Inconsistent date]]," .","")</calculatedColumnFormula>
    </tableColumn>
    <tableColumn id="11" xr3:uid="{83114CC9-6EBA-4030-B97B-380AE2998108}" name="DATE" dataDxfId="50">
      <calculatedColumnFormula>TEXT(Table1[[#This Row],[substitute date]],"dd-mmm-yyyy")</calculatedColumnFormula>
    </tableColumn>
    <tableColumn id="2" xr3:uid="{9A6BE354-8263-4476-A85B-870BA019ECFA}" name="Region1" dataDxfId="49"/>
    <tableColumn id="13" xr3:uid="{405BBE40-C103-4E63-9369-B41A2AE58E07}" name="region 2" dataDxfId="48">
      <calculatedColumnFormula>PROPER(TRIM(Table1[[#This Row],[Region1]]))</calculatedColumnFormula>
    </tableColumn>
    <tableColumn id="14" xr3:uid="{65F73085-6C29-4191-86E8-F8232617876D}" name="REGION" dataDxfId="47">
      <calculatedColumnFormula>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calculatedColumnFormula>
    </tableColumn>
    <tableColumn id="3" xr3:uid="{41CA8F5C-725C-4D1D-9B0E-49D054145F1E}" name="M Product" dataDxfId="46"/>
    <tableColumn id="15" xr3:uid="{C3D95D0A-6C12-4B46-86CD-047878D976F7}" name="PRODUCT" dataDxfId="45"/>
    <tableColumn id="4" xr3:uid="{1F83603B-113A-48FE-9C15-24CD78EEF773}" name="M Category" dataDxfId="44"/>
    <tableColumn id="17" xr3:uid="{14EC8A9F-F328-46A3-8019-8EB65EE5F3A2}" name="CATEGORY" dataDxfId="43"/>
    <tableColumn id="5" xr3:uid="{F053A33A-EE39-43B8-AD6C-8567EDD6EAA9}" name="UNIT SOLD" dataDxfId="42"/>
    <tableColumn id="6" xr3:uid="{30981DF8-A974-43FC-8C14-229D28A161DD}" name="UNIT PRICE" dataDxfId="41" dataCellStyle="Comma"/>
    <tableColumn id="7" xr3:uid="{F450CDC8-DCE2-420D-BE8E-2AF9416A6327}" name="M Sales Rep" dataDxfId="40"/>
    <tableColumn id="18" xr3:uid="{2F74296E-4AAD-47AE-BC39-6DA5C830500F}" name="M2 SALES REP." dataDxfId="39">
      <calculatedColumnFormula>PROPER(TRIM(Table1[[#This Row],[M Sales Rep]]))</calculatedColumnFormula>
    </tableColumn>
    <tableColumn id="1" xr3:uid="{2A309C43-E01A-47DA-893A-FA74AB24F43A}" name="TOTAL REVENUE" dataDxfId="38" dataCellStyle="Comma">
      <calculatedColumnFormula>Table1[[#This Row],[UNIT SOLD]]*Table1[[#This Row],[UNIT PRICE]]</calculatedColumnFormula>
    </tableColumn>
    <tableColumn id="20" xr3:uid="{E6B42554-C699-4B4E-AB8B-720CA4AB934A}" name="SALES REP" dataDxfId="37">
      <calculatedColumnFormula>PROPER(TRIM(Table1[[#This Row],[M Sales Rep]]))</calculatedColumnFormula>
    </tableColumn>
    <tableColumn id="21" xr3:uid="{B31AAC7F-C2FB-4768-A70F-820D12BB8BA1}" name="CUSTOMER" dataDxfId="36"/>
    <tableColumn id="8" xr3:uid="{1ACBF6C4-565E-4101-B12F-996ADE57763E}" name="M Customer" dataDxfId="35"/>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21"/>
  <sheetViews>
    <sheetView workbookViewId="0">
      <selection activeCell="B2" sqref="B2"/>
    </sheetView>
  </sheetViews>
  <sheetFormatPr defaultColWidth="0" defaultRowHeight="15" zeroHeight="1" x14ac:dyDescent="0.25"/>
  <cols>
    <col min="1" max="1" width="3.42578125" style="2" customWidth="1"/>
    <col min="2" max="15" width="8.7109375" style="2" customWidth="1"/>
    <col min="16" max="16384" width="8.7109375" style="2" hidden="1"/>
  </cols>
  <sheetData>
    <row r="1" spans="2:14" x14ac:dyDescent="0.25"/>
    <row r="2" spans="2:14" ht="34.5" thickBot="1" x14ac:dyDescent="0.55000000000000004">
      <c r="B2" s="3" t="s">
        <v>368</v>
      </c>
      <c r="C2" s="4"/>
      <c r="D2" s="4"/>
      <c r="E2" s="4"/>
      <c r="F2" s="4"/>
      <c r="G2" s="4"/>
      <c r="H2" s="4"/>
      <c r="I2" s="4"/>
      <c r="J2" s="4"/>
      <c r="K2" s="4"/>
      <c r="L2" s="4"/>
      <c r="M2" s="4"/>
      <c r="N2" s="4"/>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row r="17" hidden="1" x14ac:dyDescent="0.25"/>
    <row r="18" hidden="1" x14ac:dyDescent="0.25"/>
    <row r="19" hidden="1" x14ac:dyDescent="0.25"/>
    <row r="20" hidden="1" x14ac:dyDescent="0.25"/>
    <row r="21" hidden="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zoomScale="112" zoomScaleNormal="112" workbookViewId="0">
      <pane ySplit="1" topLeftCell="A77" activePane="bottomLeft" state="frozen"/>
      <selection pane="bottomLeft" activeCell="H105" sqref="H105"/>
    </sheetView>
  </sheetViews>
  <sheetFormatPr defaultRowHeight="15" x14ac:dyDescent="0.25"/>
  <cols>
    <col min="1" max="2" width="18.85546875" style="17" hidden="1" customWidth="1"/>
    <col min="3" max="3" width="18.85546875" style="13" customWidth="1"/>
    <col min="4" max="5" width="18.85546875" hidden="1" customWidth="1"/>
    <col min="6" max="6" width="18.85546875" customWidth="1"/>
    <col min="7" max="7" width="18.85546875" hidden="1" customWidth="1"/>
    <col min="8" max="8" width="18.85546875" customWidth="1"/>
    <col min="9" max="9" width="18.85546875" hidden="1" customWidth="1"/>
    <col min="10" max="11" width="18.85546875" customWidth="1"/>
    <col min="12" max="12" width="18.85546875" style="21" customWidth="1"/>
    <col min="13" max="14" width="18.85546875" hidden="1" customWidth="1"/>
    <col min="15" max="15" width="18.85546875" style="21" customWidth="1"/>
    <col min="16" max="16" width="18.85546875" customWidth="1"/>
    <col min="17" max="18" width="18.85546875" hidden="1" customWidth="1"/>
    <col min="19" max="19" width="18.85546875" customWidth="1"/>
  </cols>
  <sheetData>
    <row r="1" spans="1:18" x14ac:dyDescent="0.25">
      <c r="A1" s="14" t="s">
        <v>379</v>
      </c>
      <c r="B1" s="14" t="s">
        <v>378</v>
      </c>
      <c r="C1" s="10" t="s">
        <v>377</v>
      </c>
      <c r="D1" s="6" t="s">
        <v>382</v>
      </c>
      <c r="E1" s="6" t="s">
        <v>380</v>
      </c>
      <c r="F1" s="6" t="s">
        <v>381</v>
      </c>
      <c r="G1" s="6" t="s">
        <v>383</v>
      </c>
      <c r="H1" s="6" t="s">
        <v>384</v>
      </c>
      <c r="I1" s="6" t="s">
        <v>388</v>
      </c>
      <c r="J1" s="6" t="s">
        <v>387</v>
      </c>
      <c r="K1" s="6" t="s">
        <v>411</v>
      </c>
      <c r="L1" s="22" t="s">
        <v>410</v>
      </c>
      <c r="M1" s="6" t="s">
        <v>390</v>
      </c>
      <c r="N1" s="7" t="s">
        <v>391</v>
      </c>
      <c r="O1" s="18" t="s">
        <v>412</v>
      </c>
      <c r="P1" s="7" t="s">
        <v>409</v>
      </c>
      <c r="Q1" s="7" t="s">
        <v>399</v>
      </c>
      <c r="R1" s="7" t="s">
        <v>398</v>
      </c>
    </row>
    <row r="2" spans="1:18" x14ac:dyDescent="0.25">
      <c r="A2" s="15">
        <v>45821</v>
      </c>
      <c r="B2" s="15" t="str">
        <f>SUBSTITUTE(Table1[[#This Row],[Inconsistent date]]," .","")</f>
        <v>45821</v>
      </c>
      <c r="C2" s="11" t="str">
        <f>TEXT(Table1[[#This Row],[substitute date]],"dd-mmm-yyyy")</f>
        <v>13-Jun-2025</v>
      </c>
      <c r="D2" s="1" t="s">
        <v>0</v>
      </c>
      <c r="E2" s="1" t="str">
        <f>PROPER(TRIM(Table1[[#This Row],[Region1]]))</f>
        <v>South</v>
      </c>
      <c r="F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2" s="1" t="s">
        <v>170</v>
      </c>
      <c r="H2" s="1" t="s">
        <v>170</v>
      </c>
      <c r="I2" s="1" t="s">
        <v>1</v>
      </c>
      <c r="J2" s="1" t="s">
        <v>6</v>
      </c>
      <c r="K2" s="1">
        <v>8</v>
      </c>
      <c r="L2" s="23">
        <v>2500000</v>
      </c>
      <c r="M2" s="1" t="s">
        <v>2</v>
      </c>
      <c r="N2" s="5" t="str">
        <f>PROPER(TRIM(Table1[[#This Row],[M Sales Rep]]))</f>
        <v>Peter Obi</v>
      </c>
      <c r="O2" s="19">
        <f>Table1[[#This Row],[UNIT SOLD]]*Table1[[#This Row],[UNIT PRICE]]</f>
        <v>20000000</v>
      </c>
      <c r="P2" s="5" t="s">
        <v>396</v>
      </c>
      <c r="Q2" s="5" t="s">
        <v>67</v>
      </c>
      <c r="R2" s="5" t="s">
        <v>3</v>
      </c>
    </row>
    <row r="3" spans="1:18" x14ac:dyDescent="0.25">
      <c r="A3" s="15">
        <v>45755</v>
      </c>
      <c r="B3" s="15" t="str">
        <f>SUBSTITUTE(Table1[[#This Row],[Inconsistent date]]," .","")</f>
        <v>45755</v>
      </c>
      <c r="C3" s="11" t="str">
        <f>TEXT(Table1[[#This Row],[substitute date]],"dd-mmm-yyyy")</f>
        <v>08-Apr-2025</v>
      </c>
      <c r="D3" s="1" t="s">
        <v>4</v>
      </c>
      <c r="E3" s="1" t="str">
        <f>PROPER(TRIM(Table1[[#This Row],[Region1]]))</f>
        <v>East</v>
      </c>
      <c r="F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3" s="1" t="s">
        <v>238</v>
      </c>
      <c r="H3" s="1" t="s">
        <v>238</v>
      </c>
      <c r="I3" s="1" t="s">
        <v>6</v>
      </c>
      <c r="J3" s="1" t="s">
        <v>6</v>
      </c>
      <c r="K3" s="1">
        <v>6</v>
      </c>
      <c r="L3" s="23">
        <v>350000</v>
      </c>
      <c r="M3" s="1" t="s">
        <v>7</v>
      </c>
      <c r="N3" s="5" t="str">
        <f>PROPER(TRIM(Table1[[#This Row],[M Sales Rep]]))</f>
        <v>Ifeanyi Okafor</v>
      </c>
      <c r="O3" s="19">
        <f>Table1[[#This Row],[UNIT SOLD]]*Table1[[#This Row],[UNIT PRICE]]</f>
        <v>2100000</v>
      </c>
      <c r="P3" s="5" t="s">
        <v>15</v>
      </c>
      <c r="Q3" s="5" t="s">
        <v>50</v>
      </c>
      <c r="R3" s="5" t="s">
        <v>8</v>
      </c>
    </row>
    <row r="4" spans="1:18" x14ac:dyDescent="0.25">
      <c r="A4" s="15">
        <v>45686</v>
      </c>
      <c r="B4" s="15" t="str">
        <f>SUBSTITUTE(Table1[[#This Row],[Inconsistent date]]," .","")</f>
        <v>45686</v>
      </c>
      <c r="C4" s="11" t="str">
        <f>TEXT(Table1[[#This Row],[substitute date]],"dd-mmm-yyyy")</f>
        <v>29-Jan-2025</v>
      </c>
      <c r="D4" s="1" t="s">
        <v>51</v>
      </c>
      <c r="E4" s="1" t="str">
        <f>PROPER(TRIM(Table1[[#This Row],[Region1]]))</f>
        <v>North</v>
      </c>
      <c r="F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4" s="1" t="s">
        <v>9</v>
      </c>
      <c r="H4" s="1" t="s">
        <v>9</v>
      </c>
      <c r="I4" s="1" t="s">
        <v>10</v>
      </c>
      <c r="J4" s="1" t="s">
        <v>220</v>
      </c>
      <c r="K4" s="1">
        <v>14</v>
      </c>
      <c r="L4" s="23">
        <v>180000</v>
      </c>
      <c r="M4" s="1" t="s">
        <v>11</v>
      </c>
      <c r="N4" s="5" t="str">
        <f>PROPER(TRIM(Table1[[#This Row],[M Sales Rep]]))</f>
        <v>Fola Balogun</v>
      </c>
      <c r="O4" s="19">
        <f>Table1[[#This Row],[UNIT SOLD]]*Table1[[#This Row],[UNIT PRICE]]</f>
        <v>2520000</v>
      </c>
      <c r="P4" s="5" t="s">
        <v>392</v>
      </c>
      <c r="Q4" s="5" t="s">
        <v>408</v>
      </c>
      <c r="R4" s="5" t="s">
        <v>12</v>
      </c>
    </row>
    <row r="5" spans="1:18" x14ac:dyDescent="0.25">
      <c r="A5" s="15">
        <v>45794</v>
      </c>
      <c r="B5" s="15" t="str">
        <f>SUBSTITUTE(Table1[[#This Row],[Inconsistent date]]," .","")</f>
        <v>45794</v>
      </c>
      <c r="C5" s="11" t="str">
        <f>TEXT(Table1[[#This Row],[substitute date]],"dd-mmm-yyyy")</f>
        <v>17-May-2025</v>
      </c>
      <c r="D5" s="1" t="s">
        <v>13</v>
      </c>
      <c r="E5" s="1" t="str">
        <f>PROPER(TRIM(Table1[[#This Row],[Region1]]))</f>
        <v>South</v>
      </c>
      <c r="F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5" s="1" t="s">
        <v>385</v>
      </c>
      <c r="H5" s="1" t="s">
        <v>385</v>
      </c>
      <c r="I5" s="1" t="s">
        <v>14</v>
      </c>
      <c r="J5" s="1" t="s">
        <v>155</v>
      </c>
      <c r="K5" s="1">
        <v>18</v>
      </c>
      <c r="L5" s="23">
        <v>65000</v>
      </c>
      <c r="M5" s="1" t="s">
        <v>15</v>
      </c>
      <c r="N5" s="5" t="str">
        <f>PROPER(TRIM(Table1[[#This Row],[M Sales Rep]]))</f>
        <v>Ifeanyi Okafor</v>
      </c>
      <c r="O5" s="19">
        <f>Table1[[#This Row],[UNIT SOLD]]*Table1[[#This Row],[UNIT PRICE]]</f>
        <v>1170000</v>
      </c>
      <c r="P5" s="5" t="s">
        <v>15</v>
      </c>
      <c r="Q5" s="5" t="s">
        <v>403</v>
      </c>
      <c r="R5" s="5" t="s">
        <v>16</v>
      </c>
    </row>
    <row r="6" spans="1:18" x14ac:dyDescent="0.25">
      <c r="A6" s="15">
        <v>45685</v>
      </c>
      <c r="B6" s="15" t="str">
        <f>SUBSTITUTE(Table1[[#This Row],[Inconsistent date]]," .","")</f>
        <v>45685</v>
      </c>
      <c r="C6" s="11" t="str">
        <f>TEXT(Table1[[#This Row],[substitute date]],"dd-mmm-yyyy")</f>
        <v>28-Jan-2025</v>
      </c>
      <c r="D6" s="1" t="s">
        <v>17</v>
      </c>
      <c r="E6" s="1" t="str">
        <f>PROPER(TRIM(Table1[[#This Row],[Region1]]))</f>
        <v>West</v>
      </c>
      <c r="F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6" s="1" t="s">
        <v>18</v>
      </c>
      <c r="H6" s="1" t="s">
        <v>9</v>
      </c>
      <c r="I6" s="1" t="s">
        <v>19</v>
      </c>
      <c r="J6" s="1" t="s">
        <v>220</v>
      </c>
      <c r="K6" s="1">
        <v>5</v>
      </c>
      <c r="L6" s="23">
        <v>180000</v>
      </c>
      <c r="M6" s="1" t="s">
        <v>20</v>
      </c>
      <c r="N6" s="5" t="str">
        <f>PROPER(TRIM(Table1[[#This Row],[M Sales Rep]]))</f>
        <v>Petero Bi</v>
      </c>
      <c r="O6" s="19">
        <f>Table1[[#This Row],[UNIT SOLD]]*Table1[[#This Row],[UNIT PRICE]]</f>
        <v>900000</v>
      </c>
      <c r="P6" s="5" t="s">
        <v>396</v>
      </c>
      <c r="Q6" s="5" t="s">
        <v>246</v>
      </c>
      <c r="R6" s="5" t="s">
        <v>21</v>
      </c>
    </row>
    <row r="7" spans="1:18" x14ac:dyDescent="0.25">
      <c r="A7" s="15">
        <v>45803</v>
      </c>
      <c r="B7" s="15" t="str">
        <f>SUBSTITUTE(Table1[[#This Row],[Inconsistent date]]," .","")</f>
        <v>45803</v>
      </c>
      <c r="C7" s="11" t="str">
        <f>TEXT(Table1[[#This Row],[substitute date]],"dd-mmm-yyyy")</f>
        <v>26-May-2025</v>
      </c>
      <c r="D7" s="1" t="s">
        <v>22</v>
      </c>
      <c r="E7" s="1" t="str">
        <f>PROPER(TRIM(Table1[[#This Row],[Region1]]))</f>
        <v>East,</v>
      </c>
      <c r="F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7" s="1" t="s">
        <v>18</v>
      </c>
      <c r="H7" s="1" t="s">
        <v>9</v>
      </c>
      <c r="I7" s="1" t="s">
        <v>23</v>
      </c>
      <c r="J7" s="1" t="s">
        <v>220</v>
      </c>
      <c r="K7" s="1">
        <v>19</v>
      </c>
      <c r="L7" s="23">
        <v>157427</v>
      </c>
      <c r="M7" s="1" t="s">
        <v>24</v>
      </c>
      <c r="N7" s="5" t="str">
        <f>PROPER(TRIM(Table1[[#This Row],[M Sales Rep]]))</f>
        <v>Ifeanyi Okafor</v>
      </c>
      <c r="O7" s="19">
        <f>Table1[[#This Row],[UNIT SOLD]]*Table1[[#This Row],[UNIT PRICE]]</f>
        <v>2991113</v>
      </c>
      <c r="P7" s="5" t="s">
        <v>15</v>
      </c>
      <c r="Q7" s="5" t="s">
        <v>50</v>
      </c>
      <c r="R7" s="5" t="s">
        <v>25</v>
      </c>
    </row>
    <row r="8" spans="1:18" x14ac:dyDescent="0.25">
      <c r="A8" s="15">
        <v>45783</v>
      </c>
      <c r="B8" s="15" t="str">
        <f>SUBSTITUTE(Table1[[#This Row],[Inconsistent date]]," .","")</f>
        <v>45783</v>
      </c>
      <c r="C8" s="11" t="str">
        <f>TEXT(Table1[[#This Row],[substitute date]],"dd-mmm-yyyy")</f>
        <v>06-May-2025</v>
      </c>
      <c r="D8" s="1" t="s">
        <v>26</v>
      </c>
      <c r="E8" s="1" t="str">
        <f>PROPER(TRIM(Table1[[#This Row],[Region1]]))</f>
        <v>West</v>
      </c>
      <c r="F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8" s="1" t="s">
        <v>27</v>
      </c>
      <c r="H8" s="1" t="s">
        <v>238</v>
      </c>
      <c r="I8" s="1" t="s">
        <v>28</v>
      </c>
      <c r="J8" s="1" t="s">
        <v>6</v>
      </c>
      <c r="K8" s="1">
        <v>3</v>
      </c>
      <c r="L8" s="23">
        <v>350000</v>
      </c>
      <c r="M8" s="1" t="s">
        <v>29</v>
      </c>
      <c r="N8" s="5" t="str">
        <f>PROPER(TRIM(Table1[[#This Row],[M Sales Rep]]))</f>
        <v>Aisha Bello</v>
      </c>
      <c r="O8" s="19">
        <f>Table1[[#This Row],[UNIT SOLD]]*Table1[[#This Row],[UNIT PRICE]]</f>
        <v>1050000</v>
      </c>
      <c r="P8" s="5" t="s">
        <v>281</v>
      </c>
      <c r="Q8" s="5" t="s">
        <v>246</v>
      </c>
      <c r="R8" s="5" t="s">
        <v>30</v>
      </c>
    </row>
    <row r="9" spans="1:18" x14ac:dyDescent="0.25">
      <c r="A9" s="15">
        <v>45698</v>
      </c>
      <c r="B9" s="15" t="str">
        <f>SUBSTITUTE(Table1[[#This Row],[Inconsistent date]]," .","")</f>
        <v>45698</v>
      </c>
      <c r="C9" s="11" t="str">
        <f>TEXT(Table1[[#This Row],[substitute date]],"dd-mmm-yyyy")</f>
        <v>10-Feb-2025</v>
      </c>
      <c r="D9" s="1" t="s">
        <v>31</v>
      </c>
      <c r="E9" s="1" t="str">
        <f>PROPER(TRIM(Table1[[#This Row],[Region1]]))</f>
        <v>West</v>
      </c>
      <c r="F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9" s="1" t="s">
        <v>32</v>
      </c>
      <c r="H9" s="1" t="s">
        <v>385</v>
      </c>
      <c r="I9" s="1" t="s">
        <v>33</v>
      </c>
      <c r="J9" s="1" t="s">
        <v>155</v>
      </c>
      <c r="K9" s="1">
        <v>2</v>
      </c>
      <c r="L9" s="23">
        <v>65000</v>
      </c>
      <c r="M9" s="1" t="s">
        <v>34</v>
      </c>
      <c r="N9" s="5" t="str">
        <f>PROPER(TRIM(Table1[[#This Row],[M Sales Rep]]))</f>
        <v>Peter Obi</v>
      </c>
      <c r="O9" s="19">
        <f>Table1[[#This Row],[UNIT SOLD]]*Table1[[#This Row],[UNIT PRICE]]</f>
        <v>130000</v>
      </c>
      <c r="P9" s="5" t="s">
        <v>396</v>
      </c>
      <c r="Q9" s="5" t="s">
        <v>50</v>
      </c>
      <c r="R9" s="5" t="s">
        <v>35</v>
      </c>
    </row>
    <row r="10" spans="1:18" x14ac:dyDescent="0.25">
      <c r="A10" s="15">
        <v>45689</v>
      </c>
      <c r="B10" s="15" t="str">
        <f>SUBSTITUTE(Table1[[#This Row],[Inconsistent date]]," .","")</f>
        <v>45689</v>
      </c>
      <c r="C10" s="11" t="str">
        <f>TEXT(Table1[[#This Row],[substitute date]],"dd-mmm-yyyy")</f>
        <v>01-Feb-2025</v>
      </c>
      <c r="D10" s="1" t="s">
        <v>36</v>
      </c>
      <c r="E10" s="1" t="str">
        <f>PROPER(TRIM(Table1[[#This Row],[Region1]]))</f>
        <v>East</v>
      </c>
      <c r="F1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10" s="1" t="s">
        <v>37</v>
      </c>
      <c r="H10" s="1" t="s">
        <v>154</v>
      </c>
      <c r="I10" s="1" t="s">
        <v>38</v>
      </c>
      <c r="J10" s="1" t="s">
        <v>155</v>
      </c>
      <c r="K10" s="1">
        <v>14</v>
      </c>
      <c r="L10" s="23">
        <v>175000</v>
      </c>
      <c r="M10" s="1" t="s">
        <v>39</v>
      </c>
      <c r="N10" s="5" t="str">
        <f>PROPER(TRIM(Table1[[#This Row],[M Sales Rep]]))</f>
        <v>Fola Balogun</v>
      </c>
      <c r="O10" s="19">
        <f>Table1[[#This Row],[UNIT SOLD]]*Table1[[#This Row],[UNIT PRICE]]</f>
        <v>2450000</v>
      </c>
      <c r="P10" s="5" t="s">
        <v>392</v>
      </c>
      <c r="Q10" s="5" t="s">
        <v>67</v>
      </c>
      <c r="R10" s="5" t="s">
        <v>40</v>
      </c>
    </row>
    <row r="11" spans="1:18" x14ac:dyDescent="0.25">
      <c r="A11" s="15">
        <v>45836</v>
      </c>
      <c r="B11" s="15" t="str">
        <f>SUBSTITUTE(Table1[[#This Row],[Inconsistent date]]," .","")</f>
        <v>45836</v>
      </c>
      <c r="C11" s="11" t="str">
        <f>TEXT(Table1[[#This Row],[substitute date]],"dd-mmm-yyyy")</f>
        <v>28-Jun-2025</v>
      </c>
      <c r="D11" s="1" t="s">
        <v>41</v>
      </c>
      <c r="E11" s="1" t="str">
        <f>PROPER(TRIM(Table1[[#This Row],[Region1]]))</f>
        <v>West</v>
      </c>
      <c r="F1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11" s="1" t="s">
        <v>78</v>
      </c>
      <c r="H11" s="1" t="s">
        <v>78</v>
      </c>
      <c r="I11" s="1" t="s">
        <v>43</v>
      </c>
      <c r="J11" s="1" t="s">
        <v>220</v>
      </c>
      <c r="K11" s="1">
        <v>4</v>
      </c>
      <c r="L11" s="23">
        <v>150000</v>
      </c>
      <c r="M11" s="1" t="s">
        <v>44</v>
      </c>
      <c r="N11" s="5" t="str">
        <f>PROPER(TRIM(Table1[[#This Row],[M Sales Rep]]))</f>
        <v>Peter Obi</v>
      </c>
      <c r="O11" s="19">
        <f>Table1[[#This Row],[UNIT SOLD]]*Table1[[#This Row],[UNIT PRICE]]</f>
        <v>600000</v>
      </c>
      <c r="P11" s="5" t="s">
        <v>396</v>
      </c>
      <c r="Q11" s="5" t="s">
        <v>367</v>
      </c>
      <c r="R11" s="5" t="s">
        <v>45</v>
      </c>
    </row>
    <row r="12" spans="1:18" x14ac:dyDescent="0.25">
      <c r="A12" s="15">
        <v>45765</v>
      </c>
      <c r="B12" s="15" t="str">
        <f>SUBSTITUTE(Table1[[#This Row],[Inconsistent date]]," .","")</f>
        <v>45765</v>
      </c>
      <c r="C12" s="11" t="str">
        <f>TEXT(Table1[[#This Row],[substitute date]],"dd-mmm-yyyy")</f>
        <v>18-Apr-2025</v>
      </c>
      <c r="D12" s="1" t="s">
        <v>46</v>
      </c>
      <c r="E12" s="1" t="str">
        <f>PROPER(TRIM(Table1[[#This Row],[Region1]]))</f>
        <v>South</v>
      </c>
      <c r="F1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12" s="1" t="s">
        <v>47</v>
      </c>
      <c r="H12" s="1" t="s">
        <v>78</v>
      </c>
      <c r="I12" s="1" t="s">
        <v>48</v>
      </c>
      <c r="J12" s="1" t="s">
        <v>220</v>
      </c>
      <c r="K12" s="1">
        <v>20</v>
      </c>
      <c r="L12" s="23">
        <v>150000</v>
      </c>
      <c r="M12" s="1" t="s">
        <v>49</v>
      </c>
      <c r="N12" s="5" t="str">
        <f>PROPER(TRIM(Table1[[#This Row],[M Sales Rep]]))</f>
        <v>Fola Balogun</v>
      </c>
      <c r="O12" s="19">
        <f>Table1[[#This Row],[UNIT SOLD]]*Table1[[#This Row],[UNIT PRICE]]</f>
        <v>3000000</v>
      </c>
      <c r="P12" s="5" t="s">
        <v>392</v>
      </c>
      <c r="Q12" s="5" t="s">
        <v>50</v>
      </c>
      <c r="R12" s="5" t="s">
        <v>50</v>
      </c>
    </row>
    <row r="13" spans="1:18" x14ac:dyDescent="0.25">
      <c r="A13" s="15">
        <v>45713</v>
      </c>
      <c r="B13" s="15" t="str">
        <f>SUBSTITUTE(Table1[[#This Row],[Inconsistent date]]," .","")</f>
        <v>45713</v>
      </c>
      <c r="C13" s="11" t="str">
        <f>TEXT(Table1[[#This Row],[substitute date]],"dd-mmm-yyyy")</f>
        <v>25-Feb-2025</v>
      </c>
      <c r="D13" s="1" t="s">
        <v>51</v>
      </c>
      <c r="E13" s="1" t="str">
        <f>PROPER(TRIM(Table1[[#This Row],[Region1]]))</f>
        <v>North</v>
      </c>
      <c r="F1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13" s="1" t="s">
        <v>386</v>
      </c>
      <c r="H13" s="1" t="s">
        <v>386</v>
      </c>
      <c r="I13" s="1" t="s">
        <v>52</v>
      </c>
      <c r="J13" s="1" t="s">
        <v>334</v>
      </c>
      <c r="K13" s="1">
        <v>6</v>
      </c>
      <c r="L13" s="23">
        <v>85000</v>
      </c>
      <c r="M13" s="1" t="s">
        <v>53</v>
      </c>
      <c r="N13" s="5" t="str">
        <f>PROPER(TRIM(Table1[[#This Row],[M Sales Rep]]))</f>
        <v>Aisha Bello</v>
      </c>
      <c r="O13" s="19">
        <f>Table1[[#This Row],[UNIT SOLD]]*Table1[[#This Row],[UNIT PRICE]]</f>
        <v>510000</v>
      </c>
      <c r="P13" s="5" t="s">
        <v>281</v>
      </c>
      <c r="Q13" s="5" t="s">
        <v>406</v>
      </c>
      <c r="R13" s="5" t="s">
        <v>54</v>
      </c>
    </row>
    <row r="14" spans="1:18" x14ac:dyDescent="0.25">
      <c r="A14" s="15">
        <v>45776</v>
      </c>
      <c r="B14" s="15" t="str">
        <f>SUBSTITUTE(Table1[[#This Row],[Inconsistent date]]," .","")</f>
        <v>45776</v>
      </c>
      <c r="C14" s="11" t="str">
        <f>TEXT(Table1[[#This Row],[substitute date]],"dd-mmm-yyyy")</f>
        <v>29-Apr-2025</v>
      </c>
      <c r="D14" s="1" t="s">
        <v>26</v>
      </c>
      <c r="E14" s="1" t="str">
        <f>PROPER(TRIM(Table1[[#This Row],[Region1]]))</f>
        <v>West</v>
      </c>
      <c r="F1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14" s="1" t="s">
        <v>55</v>
      </c>
      <c r="H14" s="1" t="s">
        <v>78</v>
      </c>
      <c r="I14" s="1" t="s">
        <v>56</v>
      </c>
      <c r="J14" s="1" t="s">
        <v>220</v>
      </c>
      <c r="K14" s="1">
        <v>1</v>
      </c>
      <c r="L14" s="23">
        <v>150000</v>
      </c>
      <c r="M14" s="1" t="s">
        <v>57</v>
      </c>
      <c r="N14" s="5" t="str">
        <f>PROPER(TRIM(Table1[[#This Row],[M Sales Rep]]))</f>
        <v>Aisha Bello</v>
      </c>
      <c r="O14" s="19">
        <f>Table1[[#This Row],[UNIT SOLD]]*Table1[[#This Row],[UNIT PRICE]]</f>
        <v>150000</v>
      </c>
      <c r="P14" s="5" t="s">
        <v>281</v>
      </c>
      <c r="Q14" s="5" t="s">
        <v>404</v>
      </c>
      <c r="R14" s="5" t="s">
        <v>58</v>
      </c>
    </row>
    <row r="15" spans="1:18" x14ac:dyDescent="0.25">
      <c r="A15" s="15">
        <v>45690</v>
      </c>
      <c r="B15" s="15" t="str">
        <f>SUBSTITUTE(Table1[[#This Row],[Inconsistent date]]," .","")</f>
        <v>45690</v>
      </c>
      <c r="C15" s="11" t="str">
        <f>TEXT(Table1[[#This Row],[substitute date]],"dd-mmm-yyyy")</f>
        <v>02-Feb-2025</v>
      </c>
      <c r="D15" s="1" t="s">
        <v>59</v>
      </c>
      <c r="E15" s="1" t="str">
        <f>PROPER(TRIM(Table1[[#This Row],[Region1]]))</f>
        <v>Eats</v>
      </c>
      <c r="F1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15" s="1" t="s">
        <v>60</v>
      </c>
      <c r="H15" s="1" t="s">
        <v>238</v>
      </c>
      <c r="I15" s="1" t="s">
        <v>6</v>
      </c>
      <c r="J15" s="1" t="s">
        <v>6</v>
      </c>
      <c r="K15" s="1">
        <v>18</v>
      </c>
      <c r="L15" s="23">
        <v>35000</v>
      </c>
      <c r="M15" s="1" t="s">
        <v>61</v>
      </c>
      <c r="N15" s="5" t="str">
        <f>PROPER(TRIM(Table1[[#This Row],[M Sales Rep]]))</f>
        <v>Chinedu Nwosu</v>
      </c>
      <c r="O15" s="19">
        <f>Table1[[#This Row],[UNIT SOLD]]*Table1[[#This Row],[UNIT PRICE]]</f>
        <v>630000</v>
      </c>
      <c r="P15" s="5" t="s">
        <v>394</v>
      </c>
      <c r="Q15" s="5" t="s">
        <v>401</v>
      </c>
      <c r="R15" s="5" t="s">
        <v>62</v>
      </c>
    </row>
    <row r="16" spans="1:18" x14ac:dyDescent="0.25">
      <c r="A16" s="15">
        <v>45762</v>
      </c>
      <c r="B16" s="15" t="str">
        <f>SUBSTITUTE(Table1[[#This Row],[Inconsistent date]]," .","")</f>
        <v>45762</v>
      </c>
      <c r="C16" s="11" t="str">
        <f>TEXT(Table1[[#This Row],[substitute date]],"dd-mmm-yyyy")</f>
        <v>15-Apr-2025</v>
      </c>
      <c r="D16" s="1" t="s">
        <v>63</v>
      </c>
      <c r="E16" s="1" t="str">
        <f>PROPER(TRIM(Table1[[#This Row],[Region1]]))</f>
        <v>South</v>
      </c>
      <c r="F1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16" s="1" t="s">
        <v>64</v>
      </c>
      <c r="H16" s="1" t="s">
        <v>386</v>
      </c>
      <c r="I16" s="1" t="s">
        <v>65</v>
      </c>
      <c r="J16" s="1" t="s">
        <v>334</v>
      </c>
      <c r="K16" s="1">
        <v>2</v>
      </c>
      <c r="L16" s="23">
        <v>85000</v>
      </c>
      <c r="M16" s="1" t="s">
        <v>66</v>
      </c>
      <c r="N16" s="5" t="str">
        <f>PROPER(TRIM(Table1[[#This Row],[M Sales Rep]]))</f>
        <v>Ifeanyi Okafor</v>
      </c>
      <c r="O16" s="19">
        <f>Table1[[#This Row],[UNIT SOLD]]*Table1[[#This Row],[UNIT PRICE]]</f>
        <v>170000</v>
      </c>
      <c r="P16" s="5" t="s">
        <v>15</v>
      </c>
      <c r="Q16" s="5" t="s">
        <v>67</v>
      </c>
      <c r="R16" s="5" t="s">
        <v>67</v>
      </c>
    </row>
    <row r="17" spans="1:18" x14ac:dyDescent="0.25">
      <c r="A17" s="15">
        <v>45820</v>
      </c>
      <c r="B17" s="15" t="str">
        <f>SUBSTITUTE(Table1[[#This Row],[Inconsistent date]]," .","")</f>
        <v>45820</v>
      </c>
      <c r="C17" s="11" t="str">
        <f>TEXT(Table1[[#This Row],[substitute date]],"dd-mmm-yyyy")</f>
        <v>12-Jun-2025</v>
      </c>
      <c r="D17" s="1" t="s">
        <v>68</v>
      </c>
      <c r="E17" s="1" t="str">
        <f>PROPER(TRIM(Table1[[#This Row],[Region1]]))</f>
        <v>East</v>
      </c>
      <c r="F1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17" s="1" t="s">
        <v>69</v>
      </c>
      <c r="H17" s="1" t="s">
        <v>385</v>
      </c>
      <c r="I17" s="1" t="s">
        <v>70</v>
      </c>
      <c r="J17" s="1" t="s">
        <v>155</v>
      </c>
      <c r="K17" s="1">
        <v>11</v>
      </c>
      <c r="L17" s="23">
        <v>62035</v>
      </c>
      <c r="M17" s="1" t="s">
        <v>71</v>
      </c>
      <c r="N17" s="5" t="str">
        <f>PROPER(TRIM(Table1[[#This Row],[M Sales Rep]]))</f>
        <v>Chinedu Nwosu</v>
      </c>
      <c r="O17" s="19">
        <f>Table1[[#This Row],[UNIT SOLD]]*Table1[[#This Row],[UNIT PRICE]]</f>
        <v>682385</v>
      </c>
      <c r="P17" s="5" t="s">
        <v>394</v>
      </c>
      <c r="Q17" s="5" t="s">
        <v>407</v>
      </c>
      <c r="R17" s="5" t="s">
        <v>72</v>
      </c>
    </row>
    <row r="18" spans="1:18" x14ac:dyDescent="0.25">
      <c r="A18" s="15">
        <v>45688</v>
      </c>
      <c r="B18" s="15" t="str">
        <f>SUBSTITUTE(Table1[[#This Row],[Inconsistent date]]," .","")</f>
        <v>45688</v>
      </c>
      <c r="C18" s="11" t="str">
        <f>TEXT(Table1[[#This Row],[substitute date]],"dd-mmm-yyyy")</f>
        <v>31-Jan-2025</v>
      </c>
      <c r="D18" s="1" t="s">
        <v>73</v>
      </c>
      <c r="E18" s="1" t="str">
        <f>PROPER(TRIM(Table1[[#This Row],[Region1]]))</f>
        <v>East</v>
      </c>
      <c r="F1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18" s="1" t="s">
        <v>74</v>
      </c>
      <c r="H18" s="1" t="s">
        <v>154</v>
      </c>
      <c r="I18" s="1" t="s">
        <v>75</v>
      </c>
      <c r="J18" s="1" t="s">
        <v>155</v>
      </c>
      <c r="K18" s="1">
        <v>10</v>
      </c>
      <c r="L18" s="23">
        <v>175000</v>
      </c>
      <c r="M18" s="1" t="s">
        <v>76</v>
      </c>
      <c r="N18" s="5" t="str">
        <f>PROPER(TRIM(Table1[[#This Row],[M Sales Rep]]))</f>
        <v>Fola Balogun</v>
      </c>
      <c r="O18" s="19">
        <f>Table1[[#This Row],[UNIT SOLD]]*Table1[[#This Row],[UNIT PRICE]]</f>
        <v>1750000</v>
      </c>
      <c r="P18" s="5" t="s">
        <v>392</v>
      </c>
      <c r="Q18" s="5" t="s">
        <v>406</v>
      </c>
      <c r="R18" s="5" t="s">
        <v>54</v>
      </c>
    </row>
    <row r="19" spans="1:18" x14ac:dyDescent="0.25">
      <c r="A19" s="15">
        <v>45690</v>
      </c>
      <c r="B19" s="15" t="str">
        <f>SUBSTITUTE(Table1[[#This Row],[Inconsistent date]]," .","")</f>
        <v>45690</v>
      </c>
      <c r="C19" s="11" t="str">
        <f>TEXT(Table1[[#This Row],[substitute date]],"dd-mmm-yyyy")</f>
        <v>02-Feb-2025</v>
      </c>
      <c r="D19" s="1" t="s">
        <v>77</v>
      </c>
      <c r="E19" s="1" t="str">
        <f>PROPER(TRIM(Table1[[#This Row],[Region1]]))</f>
        <v>West</v>
      </c>
      <c r="F1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19" s="1" t="s">
        <v>78</v>
      </c>
      <c r="H19" s="1" t="s">
        <v>78</v>
      </c>
      <c r="I19" s="1" t="s">
        <v>23</v>
      </c>
      <c r="J19" s="1" t="s">
        <v>220</v>
      </c>
      <c r="K19" s="1">
        <v>4</v>
      </c>
      <c r="L19" s="23">
        <v>150000</v>
      </c>
      <c r="M19" s="1" t="s">
        <v>79</v>
      </c>
      <c r="N19" s="5" t="str">
        <f>PROPER(TRIM(Table1[[#This Row],[M Sales Rep]]))</f>
        <v>Mary John</v>
      </c>
      <c r="O19" s="19">
        <f>Table1[[#This Row],[UNIT SOLD]]*Table1[[#This Row],[UNIT PRICE]]</f>
        <v>600000</v>
      </c>
      <c r="P19" s="5" t="s">
        <v>186</v>
      </c>
      <c r="Q19" s="5" t="s">
        <v>403</v>
      </c>
      <c r="R19" s="5" t="s">
        <v>80</v>
      </c>
    </row>
    <row r="20" spans="1:18" x14ac:dyDescent="0.25">
      <c r="A20" s="15">
        <v>45802</v>
      </c>
      <c r="B20" s="15" t="str">
        <f>SUBSTITUTE(Table1[[#This Row],[Inconsistent date]]," .","")</f>
        <v>45802</v>
      </c>
      <c r="C20" s="11" t="str">
        <f>TEXT(Table1[[#This Row],[substitute date]],"dd-mmm-yyyy")</f>
        <v>25-May-2025</v>
      </c>
      <c r="D20" s="1" t="s">
        <v>41</v>
      </c>
      <c r="E20" s="1" t="str">
        <f>PROPER(TRIM(Table1[[#This Row],[Region1]]))</f>
        <v>West</v>
      </c>
      <c r="F2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20" s="1" t="s">
        <v>81</v>
      </c>
      <c r="H20" s="1" t="s">
        <v>154</v>
      </c>
      <c r="I20" s="1" t="s">
        <v>82</v>
      </c>
      <c r="J20" s="1" t="s">
        <v>155</v>
      </c>
      <c r="K20" s="1">
        <v>3</v>
      </c>
      <c r="L20" s="23">
        <v>175000</v>
      </c>
      <c r="M20" s="1" t="s">
        <v>83</v>
      </c>
      <c r="N20" s="5" t="str">
        <f>PROPER(TRIM(Table1[[#This Row],[M Sales Rep]]))</f>
        <v>Grace Amos</v>
      </c>
      <c r="O20" s="19">
        <f>Table1[[#This Row],[UNIT SOLD]]*Table1[[#This Row],[UNIT PRICE]]</f>
        <v>525000</v>
      </c>
      <c r="P20" s="5" t="s">
        <v>285</v>
      </c>
      <c r="Q20" s="5" t="s">
        <v>402</v>
      </c>
      <c r="R20" s="5" t="s">
        <v>84</v>
      </c>
    </row>
    <row r="21" spans="1:18" x14ac:dyDescent="0.25">
      <c r="A21" s="15">
        <v>45714</v>
      </c>
      <c r="B21" s="15" t="str">
        <f>SUBSTITUTE(Table1[[#This Row],[Inconsistent date]]," .","")</f>
        <v>45714</v>
      </c>
      <c r="C21" s="11" t="str">
        <f>TEXT(Table1[[#This Row],[substitute date]],"dd-mmm-yyyy")</f>
        <v>26-Feb-2025</v>
      </c>
      <c r="D21" s="1" t="s">
        <v>85</v>
      </c>
      <c r="E21" s="1" t="str">
        <f>PROPER(TRIM(Table1[[#This Row],[Region1]]))</f>
        <v>North</v>
      </c>
      <c r="F2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21" s="1" t="s">
        <v>86</v>
      </c>
      <c r="H21" s="1" t="s">
        <v>154</v>
      </c>
      <c r="I21" s="1" t="s">
        <v>82</v>
      </c>
      <c r="J21" s="1" t="s">
        <v>155</v>
      </c>
      <c r="K21" s="1">
        <v>5</v>
      </c>
      <c r="L21" s="23">
        <v>175000</v>
      </c>
      <c r="M21" s="1" t="s">
        <v>87</v>
      </c>
      <c r="N21" s="5" t="str">
        <f>PROPER(TRIM(Table1[[#This Row],[M Sales Rep]]))</f>
        <v>Chinedu Nwosu</v>
      </c>
      <c r="O21" s="19">
        <f>Table1[[#This Row],[UNIT SOLD]]*Table1[[#This Row],[UNIT PRICE]]</f>
        <v>875000</v>
      </c>
      <c r="P21" s="5" t="s">
        <v>394</v>
      </c>
      <c r="Q21" s="5" t="s">
        <v>402</v>
      </c>
      <c r="R21" s="5" t="s">
        <v>84</v>
      </c>
    </row>
    <row r="22" spans="1:18" x14ac:dyDescent="0.25">
      <c r="A22" s="15" t="s">
        <v>88</v>
      </c>
      <c r="B22" s="15" t="str">
        <f>SUBSTITUTE(Table1[[#This Row],[Inconsistent date]]," .","")</f>
        <v>06-Apr-2025</v>
      </c>
      <c r="C22" s="11" t="str">
        <f>TEXT(Table1[[#This Row],[substitute date]],"dd-mmm-yyyy")</f>
        <v>06-Apr-2025</v>
      </c>
      <c r="D22" s="1" t="s">
        <v>89</v>
      </c>
      <c r="E22" s="1" t="str">
        <f>PROPER(TRIM(Table1[[#This Row],[Region1]]))</f>
        <v>East</v>
      </c>
      <c r="F2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22" s="1" t="s">
        <v>90</v>
      </c>
      <c r="H22" s="1" t="s">
        <v>170</v>
      </c>
      <c r="I22" s="1" t="s">
        <v>91</v>
      </c>
      <c r="J22" s="1" t="s">
        <v>389</v>
      </c>
      <c r="K22" s="1">
        <v>20</v>
      </c>
      <c r="L22" s="23">
        <v>250000</v>
      </c>
      <c r="M22" s="1" t="s">
        <v>92</v>
      </c>
      <c r="N22" s="5" t="str">
        <f>PROPER(TRIM(Table1[[#This Row],[M Sales Rep]]))</f>
        <v>Grace Amos</v>
      </c>
      <c r="O22" s="19">
        <f>Table1[[#This Row],[UNIT SOLD]]*Table1[[#This Row],[UNIT PRICE]]</f>
        <v>5000000</v>
      </c>
      <c r="P22" s="5" t="s">
        <v>285</v>
      </c>
      <c r="Q22" s="5" t="s">
        <v>50</v>
      </c>
      <c r="R22" s="5" t="s">
        <v>25</v>
      </c>
    </row>
    <row r="23" spans="1:18" x14ac:dyDescent="0.25">
      <c r="A23" s="15">
        <v>45712</v>
      </c>
      <c r="B23" s="15" t="str">
        <f>SUBSTITUTE(Table1[[#This Row],[Inconsistent date]]," .","")</f>
        <v>45712</v>
      </c>
      <c r="C23" s="11" t="str">
        <f>TEXT(Table1[[#This Row],[substitute date]],"dd-mmm-yyyy")</f>
        <v>24-Feb-2025</v>
      </c>
      <c r="D23" s="1" t="s">
        <v>73</v>
      </c>
      <c r="E23" s="1" t="str">
        <f>PROPER(TRIM(Table1[[#This Row],[Region1]]))</f>
        <v>East</v>
      </c>
      <c r="F2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23" s="1" t="s">
        <v>93</v>
      </c>
      <c r="H23" s="1" t="s">
        <v>154</v>
      </c>
      <c r="I23" s="1" t="s">
        <v>94</v>
      </c>
      <c r="J23" s="1" t="s">
        <v>155</v>
      </c>
      <c r="K23" s="1">
        <v>2</v>
      </c>
      <c r="L23" s="23">
        <v>175000</v>
      </c>
      <c r="M23" s="1" t="s">
        <v>95</v>
      </c>
      <c r="N23" s="5" t="str">
        <f>PROPER(TRIM(Table1[[#This Row],[M Sales Rep]]))</f>
        <v>Peter Obi</v>
      </c>
      <c r="O23" s="19">
        <f>Table1[[#This Row],[UNIT SOLD]]*Table1[[#This Row],[UNIT PRICE]]</f>
        <v>350000</v>
      </c>
      <c r="P23" s="5" t="s">
        <v>396</v>
      </c>
      <c r="Q23" s="5" t="s">
        <v>401</v>
      </c>
      <c r="R23" s="5" t="s">
        <v>96</v>
      </c>
    </row>
    <row r="24" spans="1:18" x14ac:dyDescent="0.25">
      <c r="A24" s="15">
        <v>45740</v>
      </c>
      <c r="B24" s="15" t="str">
        <f>SUBSTITUTE(Table1[[#This Row],[Inconsistent date]]," .","")</f>
        <v>45740</v>
      </c>
      <c r="C24" s="11" t="str">
        <f>TEXT(Table1[[#This Row],[substitute date]],"dd-mmm-yyyy")</f>
        <v>24-Mar-2025</v>
      </c>
      <c r="D24" s="1" t="s">
        <v>97</v>
      </c>
      <c r="E24" s="1" t="str">
        <f>PROPER(TRIM(Table1[[#This Row],[Region1]]))</f>
        <v>East</v>
      </c>
      <c r="F2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24" s="1" t="s">
        <v>98</v>
      </c>
      <c r="H24" s="1" t="s">
        <v>78</v>
      </c>
      <c r="I24" s="1" t="s">
        <v>99</v>
      </c>
      <c r="J24" s="1" t="s">
        <v>220</v>
      </c>
      <c r="K24" s="1">
        <v>20</v>
      </c>
      <c r="L24" s="23">
        <v>150000</v>
      </c>
      <c r="M24" s="1" t="s">
        <v>76</v>
      </c>
      <c r="N24" s="5" t="str">
        <f>PROPER(TRIM(Table1[[#This Row],[M Sales Rep]]))</f>
        <v>Fola Balogun</v>
      </c>
      <c r="O24" s="19">
        <f>Table1[[#This Row],[UNIT SOLD]]*Table1[[#This Row],[UNIT PRICE]]</f>
        <v>3000000</v>
      </c>
      <c r="P24" s="5" t="s">
        <v>392</v>
      </c>
      <c r="Q24" s="5" t="s">
        <v>405</v>
      </c>
      <c r="R24" s="5" t="s">
        <v>100</v>
      </c>
    </row>
    <row r="25" spans="1:18" x14ac:dyDescent="0.25">
      <c r="A25" s="15">
        <v>45805</v>
      </c>
      <c r="B25" s="15" t="str">
        <f>SUBSTITUTE(Table1[[#This Row],[Inconsistent date]]," .","")</f>
        <v>45805</v>
      </c>
      <c r="C25" s="11" t="str">
        <f>TEXT(Table1[[#This Row],[substitute date]],"dd-mmm-yyyy")</f>
        <v>28-May-2025</v>
      </c>
      <c r="D25" s="1" t="s">
        <v>101</v>
      </c>
      <c r="E25" s="1" t="str">
        <f>PROPER(TRIM(Table1[[#This Row],[Region1]]))</f>
        <v>North</v>
      </c>
      <c r="F2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25" s="1" t="s">
        <v>102</v>
      </c>
      <c r="H25" s="1" t="s">
        <v>78</v>
      </c>
      <c r="I25" s="1" t="s">
        <v>103</v>
      </c>
      <c r="J25" s="1" t="s">
        <v>220</v>
      </c>
      <c r="K25" s="1">
        <v>8</v>
      </c>
      <c r="L25" s="23">
        <v>150000</v>
      </c>
      <c r="M25" s="1" t="s">
        <v>104</v>
      </c>
      <c r="N25" s="5" t="str">
        <f>PROPER(TRIM(Table1[[#This Row],[M Sales Rep]]))</f>
        <v>Ifeanyi Okafor</v>
      </c>
      <c r="O25" s="19">
        <f>Table1[[#This Row],[UNIT SOLD]]*Table1[[#This Row],[UNIT PRICE]]</f>
        <v>1200000</v>
      </c>
      <c r="P25" s="5" t="s">
        <v>15</v>
      </c>
      <c r="Q25" s="5" t="s">
        <v>406</v>
      </c>
      <c r="R25" s="5" t="s">
        <v>105</v>
      </c>
    </row>
    <row r="26" spans="1:18" x14ac:dyDescent="0.25">
      <c r="A26" s="15">
        <v>45789</v>
      </c>
      <c r="B26" s="15" t="str">
        <f>SUBSTITUTE(Table1[[#This Row],[Inconsistent date]]," .","")</f>
        <v>45789</v>
      </c>
      <c r="C26" s="11" t="str">
        <f>TEXT(Table1[[#This Row],[substitute date]],"dd-mmm-yyyy")</f>
        <v>12-May-2025</v>
      </c>
      <c r="D26" s="1" t="s">
        <v>106</v>
      </c>
      <c r="E26" s="1" t="str">
        <f>PROPER(TRIM(Table1[[#This Row],[Region1]]))</f>
        <v>West</v>
      </c>
      <c r="F2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26" s="1" t="s">
        <v>107</v>
      </c>
      <c r="H26" s="1" t="s">
        <v>170</v>
      </c>
      <c r="I26" s="1" t="s">
        <v>108</v>
      </c>
      <c r="J26" s="1" t="s">
        <v>389</v>
      </c>
      <c r="K26" s="1">
        <v>19</v>
      </c>
      <c r="L26" s="23">
        <v>250000</v>
      </c>
      <c r="M26" s="1" t="s">
        <v>109</v>
      </c>
      <c r="N26" s="5" t="str">
        <f>PROPER(TRIM(Table1[[#This Row],[M Sales Rep]]))</f>
        <v>Grace Amos</v>
      </c>
      <c r="O26" s="19">
        <f>Table1[[#This Row],[UNIT SOLD]]*Table1[[#This Row],[UNIT PRICE]]</f>
        <v>4750000</v>
      </c>
      <c r="P26" s="5" t="s">
        <v>285</v>
      </c>
      <c r="Q26" s="5" t="s">
        <v>402</v>
      </c>
      <c r="R26" s="5" t="s">
        <v>110</v>
      </c>
    </row>
    <row r="27" spans="1:18" x14ac:dyDescent="0.25">
      <c r="A27" s="15">
        <v>45788</v>
      </c>
      <c r="B27" s="15" t="str">
        <f>SUBSTITUTE(Table1[[#This Row],[Inconsistent date]]," .","")</f>
        <v>45788</v>
      </c>
      <c r="C27" s="11" t="str">
        <f>TEXT(Table1[[#This Row],[substitute date]],"dd-mmm-yyyy")</f>
        <v>11-May-2025</v>
      </c>
      <c r="D27" s="1" t="s">
        <v>111</v>
      </c>
      <c r="E27" s="1" t="str">
        <f>PROPER(TRIM(Table1[[#This Row],[Region1]]))</f>
        <v>East</v>
      </c>
      <c r="F2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27" s="1" t="s">
        <v>112</v>
      </c>
      <c r="H27" s="1" t="s">
        <v>154</v>
      </c>
      <c r="I27" s="1" t="s">
        <v>113</v>
      </c>
      <c r="J27" s="1" t="s">
        <v>155</v>
      </c>
      <c r="K27" s="1">
        <v>12</v>
      </c>
      <c r="L27" s="23">
        <v>175000</v>
      </c>
      <c r="M27" s="1" t="s">
        <v>114</v>
      </c>
      <c r="N27" s="5" t="str">
        <f>PROPER(TRIM(Table1[[#This Row],[M Sales Rep]]))</f>
        <v>Chinedu Nwosu</v>
      </c>
      <c r="O27" s="19">
        <f>Table1[[#This Row],[UNIT SOLD]]*Table1[[#This Row],[UNIT PRICE]]</f>
        <v>2100000</v>
      </c>
      <c r="P27" s="5" t="s">
        <v>394</v>
      </c>
      <c r="Q27" s="5" t="s">
        <v>406</v>
      </c>
      <c r="R27" s="5" t="s">
        <v>54</v>
      </c>
    </row>
    <row r="28" spans="1:18" x14ac:dyDescent="0.25">
      <c r="A28" s="15">
        <v>45673</v>
      </c>
      <c r="B28" s="15" t="str">
        <f>SUBSTITUTE(Table1[[#This Row],[Inconsistent date]]," .","")</f>
        <v>45673</v>
      </c>
      <c r="C28" s="11" t="str">
        <f>TEXT(Table1[[#This Row],[substitute date]],"dd-mmm-yyyy")</f>
        <v>16-Jan-2025</v>
      </c>
      <c r="D28" s="1" t="s">
        <v>115</v>
      </c>
      <c r="E28" s="1" t="str">
        <f>PROPER(TRIM(Table1[[#This Row],[Region1]]))</f>
        <v>North.</v>
      </c>
      <c r="F2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28" s="1" t="s">
        <v>116</v>
      </c>
      <c r="H28" s="1" t="s">
        <v>386</v>
      </c>
      <c r="I28" s="1" t="s">
        <v>117</v>
      </c>
      <c r="J28" s="1" t="s">
        <v>334</v>
      </c>
      <c r="K28" s="1">
        <v>11</v>
      </c>
      <c r="L28" s="23">
        <v>85000</v>
      </c>
      <c r="M28" s="1" t="s">
        <v>118</v>
      </c>
      <c r="N28" s="5" t="str">
        <f>PROPER(TRIM(Table1[[#This Row],[M Sales Rep]]))</f>
        <v>Grace Amos</v>
      </c>
      <c r="O28" s="19">
        <f>Table1[[#This Row],[UNIT SOLD]]*Table1[[#This Row],[UNIT PRICE]]</f>
        <v>935000</v>
      </c>
      <c r="P28" s="5" t="s">
        <v>285</v>
      </c>
      <c r="Q28" s="5" t="s">
        <v>402</v>
      </c>
      <c r="R28" s="5" t="s">
        <v>119</v>
      </c>
    </row>
    <row r="29" spans="1:18" x14ac:dyDescent="0.25">
      <c r="A29" s="15">
        <v>45787</v>
      </c>
      <c r="B29" s="15" t="str">
        <f>SUBSTITUTE(Table1[[#This Row],[Inconsistent date]]," .","")</f>
        <v>45787</v>
      </c>
      <c r="C29" s="11" t="str">
        <f>TEXT(Table1[[#This Row],[substitute date]],"dd-mmm-yyyy")</f>
        <v>10-May-2025</v>
      </c>
      <c r="D29" s="1" t="s">
        <v>101</v>
      </c>
      <c r="E29" s="1" t="str">
        <f>PROPER(TRIM(Table1[[#This Row],[Region1]]))</f>
        <v>North</v>
      </c>
      <c r="F2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29" s="1" t="s">
        <v>120</v>
      </c>
      <c r="H29" s="1" t="s">
        <v>385</v>
      </c>
      <c r="I29" s="1" t="s">
        <v>121</v>
      </c>
      <c r="J29" s="1" t="s">
        <v>155</v>
      </c>
      <c r="K29" s="1">
        <v>17</v>
      </c>
      <c r="L29" s="23">
        <v>65000</v>
      </c>
      <c r="M29" s="1" t="s">
        <v>87</v>
      </c>
      <c r="N29" s="5" t="str">
        <f>PROPER(TRIM(Table1[[#This Row],[M Sales Rep]]))</f>
        <v>Chinedu Nwosu</v>
      </c>
      <c r="O29" s="19">
        <f>Table1[[#This Row],[UNIT SOLD]]*Table1[[#This Row],[UNIT PRICE]]</f>
        <v>1105000</v>
      </c>
      <c r="P29" s="5" t="s">
        <v>394</v>
      </c>
      <c r="Q29" s="5" t="s">
        <v>404</v>
      </c>
      <c r="R29" s="5" t="s">
        <v>122</v>
      </c>
    </row>
    <row r="30" spans="1:18" x14ac:dyDescent="0.25">
      <c r="A30" s="15">
        <v>45689</v>
      </c>
      <c r="B30" s="15" t="str">
        <f>SUBSTITUTE(Table1[[#This Row],[Inconsistent date]]," .","")</f>
        <v>45689</v>
      </c>
      <c r="C30" s="11" t="str">
        <f>TEXT(Table1[[#This Row],[substitute date]],"dd-mmm-yyyy")</f>
        <v>01-Feb-2025</v>
      </c>
      <c r="D30" s="1" t="s">
        <v>123</v>
      </c>
      <c r="E30" s="1" t="str">
        <f>PROPER(TRIM(Table1[[#This Row],[Region1]]))</f>
        <v>South</v>
      </c>
      <c r="F3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30" s="1" t="s">
        <v>124</v>
      </c>
      <c r="H30" s="1" t="s">
        <v>238</v>
      </c>
      <c r="I30" s="1" t="s">
        <v>125</v>
      </c>
      <c r="J30" s="1" t="s">
        <v>6</v>
      </c>
      <c r="K30" s="1">
        <v>15</v>
      </c>
      <c r="L30" s="23">
        <v>350000</v>
      </c>
      <c r="M30" s="1" t="s">
        <v>371</v>
      </c>
      <c r="N30" s="5" t="str">
        <f>PROPER(TRIM(Table1[[#This Row],[M Sales Rep]]))</f>
        <v>Job Austin</v>
      </c>
      <c r="O30" s="19">
        <f>Table1[[#This Row],[UNIT SOLD]]*Table1[[#This Row],[UNIT PRICE]]</f>
        <v>5250000</v>
      </c>
      <c r="P30" s="5" t="s">
        <v>395</v>
      </c>
      <c r="Q30" s="5" t="s">
        <v>408</v>
      </c>
      <c r="R30" s="5" t="s">
        <v>126</v>
      </c>
    </row>
    <row r="31" spans="1:18" x14ac:dyDescent="0.25">
      <c r="A31" s="15">
        <v>45694</v>
      </c>
      <c r="B31" s="15" t="str">
        <f>SUBSTITUTE(Table1[[#This Row],[Inconsistent date]]," .","")</f>
        <v>45694</v>
      </c>
      <c r="C31" s="11" t="str">
        <f>TEXT(Table1[[#This Row],[substitute date]],"dd-mmm-yyyy")</f>
        <v>06-Feb-2025</v>
      </c>
      <c r="D31" s="1" t="s">
        <v>31</v>
      </c>
      <c r="E31" s="1" t="str">
        <f>PROPER(TRIM(Table1[[#This Row],[Region1]]))</f>
        <v>West</v>
      </c>
      <c r="F3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31" s="1" t="s">
        <v>5</v>
      </c>
      <c r="H31" s="1" t="s">
        <v>238</v>
      </c>
      <c r="I31" s="1" t="s">
        <v>127</v>
      </c>
      <c r="J31" s="1" t="s">
        <v>6</v>
      </c>
      <c r="K31" s="1">
        <v>8</v>
      </c>
      <c r="L31" s="23">
        <v>350000</v>
      </c>
      <c r="M31" s="1" t="s">
        <v>128</v>
      </c>
      <c r="N31" s="5" t="str">
        <f>PROPER(TRIM(Table1[[#This Row],[M Sales Rep]]))</f>
        <v>Peter Obi</v>
      </c>
      <c r="O31" s="19">
        <f>Table1[[#This Row],[UNIT SOLD]]*Table1[[#This Row],[UNIT PRICE]]</f>
        <v>2800000</v>
      </c>
      <c r="P31" s="5" t="s">
        <v>396</v>
      </c>
      <c r="Q31" s="5" t="s">
        <v>402</v>
      </c>
      <c r="R31" s="5" t="s">
        <v>129</v>
      </c>
    </row>
    <row r="32" spans="1:18" x14ac:dyDescent="0.25">
      <c r="A32" s="15">
        <v>45825</v>
      </c>
      <c r="B32" s="15" t="str">
        <f>SUBSTITUTE(Table1[[#This Row],[Inconsistent date]]," .","")</f>
        <v>45825</v>
      </c>
      <c r="C32" s="11" t="str">
        <f>TEXT(Table1[[#This Row],[substitute date]],"dd-mmm-yyyy")</f>
        <v>17-Jun-2025</v>
      </c>
      <c r="D32" s="1" t="s">
        <v>130</v>
      </c>
      <c r="E32" s="1" t="str">
        <f>PROPER(TRIM(Table1[[#This Row],[Region1]]))</f>
        <v>West</v>
      </c>
      <c r="F3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32" s="1" t="s">
        <v>5</v>
      </c>
      <c r="H32" s="1" t="s">
        <v>238</v>
      </c>
      <c r="I32" s="1" t="s">
        <v>131</v>
      </c>
      <c r="J32" s="1" t="s">
        <v>6</v>
      </c>
      <c r="K32" s="1">
        <v>14</v>
      </c>
      <c r="L32" s="23">
        <v>350000</v>
      </c>
      <c r="M32" s="1" t="s">
        <v>61</v>
      </c>
      <c r="N32" s="5" t="str">
        <f>PROPER(TRIM(Table1[[#This Row],[M Sales Rep]]))</f>
        <v>Chinedu Nwosu</v>
      </c>
      <c r="O32" s="19">
        <f>Table1[[#This Row],[UNIT SOLD]]*Table1[[#This Row],[UNIT PRICE]]</f>
        <v>4900000</v>
      </c>
      <c r="P32" s="5" t="s">
        <v>394</v>
      </c>
      <c r="Q32" s="5" t="s">
        <v>166</v>
      </c>
      <c r="R32" s="5" t="s">
        <v>132</v>
      </c>
    </row>
    <row r="33" spans="1:18" x14ac:dyDescent="0.25">
      <c r="A33" s="15">
        <v>45666</v>
      </c>
      <c r="B33" s="15" t="str">
        <f>SUBSTITUTE(Table1[[#This Row],[Inconsistent date]]," .","")</f>
        <v>45666</v>
      </c>
      <c r="C33" s="11" t="str">
        <f>TEXT(Table1[[#This Row],[substitute date]],"dd-mmm-yyyy")</f>
        <v>09-Jan-2025</v>
      </c>
      <c r="D33" s="1" t="s">
        <v>73</v>
      </c>
      <c r="E33" s="1" t="str">
        <f>PROPER(TRIM(Table1[[#This Row],[Region1]]))</f>
        <v>East</v>
      </c>
      <c r="F3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33" s="1" t="s">
        <v>133</v>
      </c>
      <c r="H33" s="1" t="s">
        <v>78</v>
      </c>
      <c r="I33" s="1" t="s">
        <v>134</v>
      </c>
      <c r="J33" s="1" t="s">
        <v>220</v>
      </c>
      <c r="K33" s="1">
        <v>12</v>
      </c>
      <c r="L33" s="23">
        <v>150000</v>
      </c>
      <c r="M33" s="1" t="s">
        <v>11</v>
      </c>
      <c r="N33" s="5" t="str">
        <f>PROPER(TRIM(Table1[[#This Row],[M Sales Rep]]))</f>
        <v>Fola Balogun</v>
      </c>
      <c r="O33" s="19">
        <f>Table1[[#This Row],[UNIT SOLD]]*Table1[[#This Row],[UNIT PRICE]]</f>
        <v>1800000</v>
      </c>
      <c r="P33" s="5" t="s">
        <v>392</v>
      </c>
      <c r="Q33" s="5" t="s">
        <v>367</v>
      </c>
      <c r="R33" s="5" t="s">
        <v>135</v>
      </c>
    </row>
    <row r="34" spans="1:18" x14ac:dyDescent="0.25">
      <c r="A34" s="15">
        <v>45837</v>
      </c>
      <c r="B34" s="15" t="str">
        <f>SUBSTITUTE(Table1[[#This Row],[Inconsistent date]]," .","")</f>
        <v>45837</v>
      </c>
      <c r="C34" s="11" t="str">
        <f>TEXT(Table1[[#This Row],[substitute date]],"dd-mmm-yyyy")</f>
        <v>29-Jun-2025</v>
      </c>
      <c r="D34" s="1" t="s">
        <v>136</v>
      </c>
      <c r="E34" s="1" t="str">
        <f>PROPER(TRIM(Table1[[#This Row],[Region1]]))</f>
        <v>North</v>
      </c>
      <c r="F3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34" s="1" t="s">
        <v>86</v>
      </c>
      <c r="H34" s="1" t="s">
        <v>154</v>
      </c>
      <c r="I34" s="1" t="s">
        <v>137</v>
      </c>
      <c r="J34" s="1" t="s">
        <v>155</v>
      </c>
      <c r="K34" s="1">
        <v>8</v>
      </c>
      <c r="L34" s="23">
        <v>175000</v>
      </c>
      <c r="M34" s="1" t="s">
        <v>138</v>
      </c>
      <c r="N34" s="5" t="str">
        <f>PROPER(TRIM(Table1[[#This Row],[M Sales Rep]]))</f>
        <v>Peter Obi</v>
      </c>
      <c r="O34" s="19">
        <f>Table1[[#This Row],[UNIT SOLD]]*Table1[[#This Row],[UNIT PRICE]]</f>
        <v>1400000</v>
      </c>
      <c r="P34" s="5" t="s">
        <v>396</v>
      </c>
      <c r="Q34" s="5" t="s">
        <v>367</v>
      </c>
      <c r="R34" s="5" t="s">
        <v>139</v>
      </c>
    </row>
    <row r="35" spans="1:18" x14ac:dyDescent="0.25">
      <c r="A35" s="15" t="s">
        <v>372</v>
      </c>
      <c r="B35" s="15" t="str">
        <f>SUBSTITUTE(Table1[[#This Row],[Inconsistent date]]," .","")</f>
        <v>1-9mar-2025</v>
      </c>
      <c r="C35" s="11" t="str">
        <f>TEXT(Table1[[#This Row],[substitute date]],"dd-mmm-yyyy")</f>
        <v>1-9mar-2025</v>
      </c>
      <c r="D35" s="1" t="s">
        <v>0</v>
      </c>
      <c r="E35" s="1" t="str">
        <f>PROPER(TRIM(Table1[[#This Row],[Region1]]))</f>
        <v>South</v>
      </c>
      <c r="F3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35" s="1" t="s">
        <v>98</v>
      </c>
      <c r="H35" s="1" t="s">
        <v>78</v>
      </c>
      <c r="I35" s="1" t="s">
        <v>140</v>
      </c>
      <c r="J35" s="1" t="s">
        <v>220</v>
      </c>
      <c r="K35" s="1">
        <v>6</v>
      </c>
      <c r="L35" s="23">
        <v>150000</v>
      </c>
      <c r="M35" s="1" t="s">
        <v>141</v>
      </c>
      <c r="N35" s="5" t="str">
        <f>PROPER(TRIM(Table1[[#This Row],[M Sales Rep]]))</f>
        <v>Peter Obi</v>
      </c>
      <c r="O35" s="19">
        <f>Table1[[#This Row],[UNIT SOLD]]*Table1[[#This Row],[UNIT PRICE]]</f>
        <v>900000</v>
      </c>
      <c r="P35" s="5" t="s">
        <v>396</v>
      </c>
      <c r="Q35" s="5" t="s">
        <v>402</v>
      </c>
      <c r="R35" s="5" t="s">
        <v>142</v>
      </c>
    </row>
    <row r="36" spans="1:18" x14ac:dyDescent="0.25">
      <c r="A36" s="15">
        <v>45694</v>
      </c>
      <c r="B36" s="15" t="str">
        <f>SUBSTITUTE(Table1[[#This Row],[Inconsistent date]]," .","")</f>
        <v>45694</v>
      </c>
      <c r="C36" s="11" t="str">
        <f>TEXT(Table1[[#This Row],[substitute date]],"dd-mmm-yyyy")</f>
        <v>06-Feb-2025</v>
      </c>
      <c r="D36" s="1" t="s">
        <v>41</v>
      </c>
      <c r="E36" s="1" t="str">
        <f>PROPER(TRIM(Table1[[#This Row],[Region1]]))</f>
        <v>West</v>
      </c>
      <c r="F3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36" s="1" t="s">
        <v>143</v>
      </c>
      <c r="H36" s="1" t="s">
        <v>170</v>
      </c>
      <c r="I36" s="1" t="s">
        <v>91</v>
      </c>
      <c r="J36" s="1" t="s">
        <v>389</v>
      </c>
      <c r="K36" s="1">
        <v>20</v>
      </c>
      <c r="L36" s="23">
        <v>2500000</v>
      </c>
      <c r="M36" s="1" t="s">
        <v>144</v>
      </c>
      <c r="N36" s="5" t="str">
        <f>PROPER(TRIM(Table1[[#This Row],[M Sales Rep]]))</f>
        <v>Peter Obi.</v>
      </c>
      <c r="O36" s="19">
        <f>Table1[[#This Row],[UNIT SOLD]]*Table1[[#This Row],[UNIT PRICE]]</f>
        <v>50000000</v>
      </c>
      <c r="P36" s="5" t="s">
        <v>396</v>
      </c>
      <c r="Q36" s="5" t="s">
        <v>406</v>
      </c>
      <c r="R36" s="5" t="s">
        <v>145</v>
      </c>
    </row>
    <row r="37" spans="1:18" x14ac:dyDescent="0.25">
      <c r="A37" s="15">
        <v>45753</v>
      </c>
      <c r="B37" s="15" t="str">
        <f>SUBSTITUTE(Table1[[#This Row],[Inconsistent date]]," .","")</f>
        <v>45753</v>
      </c>
      <c r="C37" s="11" t="str">
        <f>TEXT(Table1[[#This Row],[substitute date]],"dd-mmm-yyyy")</f>
        <v>06-Apr-2025</v>
      </c>
      <c r="D37" s="1" t="s">
        <v>13</v>
      </c>
      <c r="E37" s="1" t="str">
        <f>PROPER(TRIM(Table1[[#This Row],[Region1]]))</f>
        <v>South</v>
      </c>
      <c r="F3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37" s="1" t="s">
        <v>146</v>
      </c>
      <c r="H37" s="1" t="s">
        <v>385</v>
      </c>
      <c r="I37" s="1" t="s">
        <v>147</v>
      </c>
      <c r="J37" s="1" t="s">
        <v>155</v>
      </c>
      <c r="K37" s="1">
        <v>12</v>
      </c>
      <c r="L37" s="23">
        <v>65000</v>
      </c>
      <c r="M37" s="1" t="s">
        <v>34</v>
      </c>
      <c r="N37" s="5" t="str">
        <f>PROPER(TRIM(Table1[[#This Row],[M Sales Rep]]))</f>
        <v>Peter Obi</v>
      </c>
      <c r="O37" s="19">
        <f>Table1[[#This Row],[UNIT SOLD]]*Table1[[#This Row],[UNIT PRICE]]</f>
        <v>780000</v>
      </c>
      <c r="P37" s="5" t="s">
        <v>396</v>
      </c>
      <c r="Q37" s="5" t="s">
        <v>405</v>
      </c>
      <c r="R37" s="5" t="s">
        <v>148</v>
      </c>
    </row>
    <row r="38" spans="1:18" x14ac:dyDescent="0.25">
      <c r="A38" s="15">
        <v>45695</v>
      </c>
      <c r="B38" s="15" t="str">
        <f>SUBSTITUTE(Table1[[#This Row],[Inconsistent date]]," .","")</f>
        <v>45695</v>
      </c>
      <c r="C38" s="11" t="str">
        <f>TEXT(Table1[[#This Row],[substitute date]],"dd-mmm-yyyy")</f>
        <v>07-Feb-2025</v>
      </c>
      <c r="D38" s="1" t="s">
        <v>123</v>
      </c>
      <c r="E38" s="1" t="str">
        <f>PROPER(TRIM(Table1[[#This Row],[Region1]]))</f>
        <v>South</v>
      </c>
      <c r="F3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38" s="1" t="s">
        <v>149</v>
      </c>
      <c r="H38" s="1" t="s">
        <v>385</v>
      </c>
      <c r="I38" s="1" t="s">
        <v>150</v>
      </c>
      <c r="J38" s="1" t="s">
        <v>155</v>
      </c>
      <c r="K38" s="1">
        <v>4</v>
      </c>
      <c r="L38" s="23">
        <v>73740</v>
      </c>
      <c r="M38" s="1" t="s">
        <v>151</v>
      </c>
      <c r="N38" s="5" t="str">
        <f>PROPER(TRIM(Table1[[#This Row],[M Sales Rep]]))</f>
        <v>Mary John</v>
      </c>
      <c r="O38" s="19">
        <f>Table1[[#This Row],[UNIT SOLD]]*Table1[[#This Row],[UNIT PRICE]]</f>
        <v>294960</v>
      </c>
      <c r="P38" s="5" t="s">
        <v>186</v>
      </c>
      <c r="Q38" s="5" t="s">
        <v>166</v>
      </c>
      <c r="R38" s="5" t="s">
        <v>152</v>
      </c>
    </row>
    <row r="39" spans="1:18" x14ac:dyDescent="0.25">
      <c r="A39" s="15">
        <v>45723</v>
      </c>
      <c r="B39" s="15" t="str">
        <f>SUBSTITUTE(Table1[[#This Row],[Inconsistent date]]," .","")</f>
        <v>45723</v>
      </c>
      <c r="C39" s="11" t="str">
        <f>TEXT(Table1[[#This Row],[substitute date]],"dd-mmm-yyyy")</f>
        <v>07-Mar-2025</v>
      </c>
      <c r="D39" s="1" t="s">
        <v>153</v>
      </c>
      <c r="E39" s="1" t="str">
        <f>PROPER(TRIM(Table1[[#This Row],[Region1]]))</f>
        <v>East</v>
      </c>
      <c r="F3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39" s="1" t="s">
        <v>154</v>
      </c>
      <c r="H39" s="1" t="s">
        <v>154</v>
      </c>
      <c r="I39" s="1" t="s">
        <v>155</v>
      </c>
      <c r="J39" s="1" t="s">
        <v>155</v>
      </c>
      <c r="K39" s="1">
        <v>18</v>
      </c>
      <c r="L39" s="23">
        <v>175000</v>
      </c>
      <c r="M39" s="1" t="s">
        <v>156</v>
      </c>
      <c r="N39" s="5" t="str">
        <f>PROPER(TRIM(Table1[[#This Row],[M Sales Rep]]))</f>
        <v>Grace Amos</v>
      </c>
      <c r="O39" s="19">
        <f>Table1[[#This Row],[UNIT SOLD]]*Table1[[#This Row],[UNIT PRICE]]</f>
        <v>3150000</v>
      </c>
      <c r="P39" s="5" t="s">
        <v>285</v>
      </c>
      <c r="Q39" s="5" t="s">
        <v>67</v>
      </c>
      <c r="R39" s="5" t="s">
        <v>67</v>
      </c>
    </row>
    <row r="40" spans="1:18" x14ac:dyDescent="0.25">
      <c r="A40" s="15">
        <v>45784</v>
      </c>
      <c r="B40" s="15" t="str">
        <f>SUBSTITUTE(Table1[[#This Row],[Inconsistent date]]," .","")</f>
        <v>45784</v>
      </c>
      <c r="C40" s="11" t="str">
        <f>TEXT(Table1[[#This Row],[substitute date]],"dd-mmm-yyyy")</f>
        <v>07-May-2025</v>
      </c>
      <c r="D40" s="1" t="s">
        <v>157</v>
      </c>
      <c r="E40" s="1" t="str">
        <f>PROPER(TRIM(Table1[[#This Row],[Region1]]))</f>
        <v>North</v>
      </c>
      <c r="F4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40" s="1" t="s">
        <v>158</v>
      </c>
      <c r="H40" s="1" t="s">
        <v>9</v>
      </c>
      <c r="I40" s="1" t="s">
        <v>159</v>
      </c>
      <c r="J40" s="1" t="s">
        <v>220</v>
      </c>
      <c r="K40" s="1">
        <v>10</v>
      </c>
      <c r="L40" s="23">
        <v>180000</v>
      </c>
      <c r="M40" s="1" t="s">
        <v>160</v>
      </c>
      <c r="N40" s="5" t="str">
        <f>PROPER(TRIM(Table1[[#This Row],[M Sales Rep]]))</f>
        <v>Mary John</v>
      </c>
      <c r="O40" s="19">
        <f>Table1[[#This Row],[UNIT SOLD]]*Table1[[#This Row],[UNIT PRICE]]</f>
        <v>1800000</v>
      </c>
      <c r="P40" s="5" t="s">
        <v>186</v>
      </c>
      <c r="Q40" s="5" t="s">
        <v>246</v>
      </c>
      <c r="R40" s="5" t="s">
        <v>161</v>
      </c>
    </row>
    <row r="41" spans="1:18" x14ac:dyDescent="0.25">
      <c r="A41" s="15">
        <v>45838</v>
      </c>
      <c r="B41" s="15" t="str">
        <f>SUBSTITUTE(Table1[[#This Row],[Inconsistent date]]," .","")</f>
        <v>45838</v>
      </c>
      <c r="C41" s="11" t="str">
        <f>TEXT(Table1[[#This Row],[substitute date]],"dd-mmm-yyyy")</f>
        <v>30-Jun-2025</v>
      </c>
      <c r="D41" s="1" t="s">
        <v>97</v>
      </c>
      <c r="E41" s="1" t="str">
        <f>PROPER(TRIM(Table1[[#This Row],[Region1]]))</f>
        <v>East</v>
      </c>
      <c r="F4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41" s="1" t="s">
        <v>162</v>
      </c>
      <c r="H41" s="1" t="s">
        <v>162</v>
      </c>
      <c r="I41" s="1" t="s">
        <v>121</v>
      </c>
      <c r="J41" s="1" t="s">
        <v>155</v>
      </c>
      <c r="K41" s="1">
        <v>10</v>
      </c>
      <c r="L41" s="23">
        <v>65000</v>
      </c>
      <c r="M41" s="1" t="s">
        <v>370</v>
      </c>
      <c r="N41" s="5" t="str">
        <f>PROPER(TRIM(Table1[[#This Row],[M Sales Rep]]))</f>
        <v>Aba Joel</v>
      </c>
      <c r="O41" s="19">
        <f>Table1[[#This Row],[UNIT SOLD]]*Table1[[#This Row],[UNIT PRICE]]</f>
        <v>650000</v>
      </c>
      <c r="P41" s="5" t="s">
        <v>393</v>
      </c>
      <c r="Q41" s="5" t="s">
        <v>50</v>
      </c>
      <c r="R41" s="5" t="s">
        <v>163</v>
      </c>
    </row>
    <row r="42" spans="1:18" x14ac:dyDescent="0.25">
      <c r="A42" s="15">
        <v>45713</v>
      </c>
      <c r="B42" s="15" t="str">
        <f>SUBSTITUTE(Table1[[#This Row],[Inconsistent date]]," .","")</f>
        <v>45713</v>
      </c>
      <c r="C42" s="11" t="str">
        <f>TEXT(Table1[[#This Row],[substitute date]],"dd-mmm-yyyy")</f>
        <v>25-Feb-2025</v>
      </c>
      <c r="D42" s="1" t="s">
        <v>164</v>
      </c>
      <c r="E42" s="1" t="str">
        <f>PROPER(TRIM(Table1[[#This Row],[Region1]]))</f>
        <v>North</v>
      </c>
      <c r="F4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42" s="1" t="s">
        <v>133</v>
      </c>
      <c r="H42" s="1" t="s">
        <v>78</v>
      </c>
      <c r="I42" s="1" t="s">
        <v>10</v>
      </c>
      <c r="J42" s="1" t="s">
        <v>220</v>
      </c>
      <c r="K42" s="1">
        <v>3</v>
      </c>
      <c r="L42" s="23">
        <v>150000</v>
      </c>
      <c r="M42" s="1" t="s">
        <v>165</v>
      </c>
      <c r="N42" s="5" t="str">
        <f>PROPER(TRIM(Table1[[#This Row],[M Sales Rep]]))</f>
        <v xml:space="preserve">Mary John 	</v>
      </c>
      <c r="O42" s="19">
        <f>Table1[[#This Row],[UNIT SOLD]]*Table1[[#This Row],[UNIT PRICE]]</f>
        <v>450000</v>
      </c>
      <c r="P42" s="5" t="s">
        <v>186</v>
      </c>
      <c r="Q42" s="5" t="s">
        <v>166</v>
      </c>
      <c r="R42" s="5" t="s">
        <v>166</v>
      </c>
    </row>
    <row r="43" spans="1:18" x14ac:dyDescent="0.25">
      <c r="A43" s="15">
        <v>45670</v>
      </c>
      <c r="B43" s="15" t="str">
        <f>SUBSTITUTE(Table1[[#This Row],[Inconsistent date]]," .","")</f>
        <v>45670</v>
      </c>
      <c r="C43" s="11" t="str">
        <f>TEXT(Table1[[#This Row],[substitute date]],"dd-mmm-yyyy")</f>
        <v>13-Jan-2025</v>
      </c>
      <c r="D43" s="1" t="s">
        <v>167</v>
      </c>
      <c r="E43" s="1" t="str">
        <f>PROPER(TRIM(Table1[[#This Row],[Region1]]))</f>
        <v>South</v>
      </c>
      <c r="F4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43" s="1" t="s">
        <v>168</v>
      </c>
      <c r="H43" s="1" t="s">
        <v>9</v>
      </c>
      <c r="I43" s="1" t="s">
        <v>10</v>
      </c>
      <c r="J43" s="1" t="s">
        <v>220</v>
      </c>
      <c r="K43" s="1">
        <v>8</v>
      </c>
      <c r="L43" s="23">
        <v>180000</v>
      </c>
      <c r="M43" s="1" t="s">
        <v>57</v>
      </c>
      <c r="N43" s="5" t="str">
        <f>PROPER(TRIM(Table1[[#This Row],[M Sales Rep]]))</f>
        <v>Aisha Bello</v>
      </c>
      <c r="O43" s="19">
        <f>Table1[[#This Row],[UNIT SOLD]]*Table1[[#This Row],[UNIT PRICE]]</f>
        <v>1440000</v>
      </c>
      <c r="P43" s="5" t="s">
        <v>281</v>
      </c>
      <c r="Q43" s="5" t="s">
        <v>406</v>
      </c>
      <c r="R43" s="5" t="s">
        <v>54</v>
      </c>
    </row>
    <row r="44" spans="1:18" x14ac:dyDescent="0.25">
      <c r="A44" s="15">
        <v>45823</v>
      </c>
      <c r="B44" s="15" t="str">
        <f>SUBSTITUTE(Table1[[#This Row],[Inconsistent date]]," .","")</f>
        <v>45823</v>
      </c>
      <c r="C44" s="11" t="str">
        <f>TEXT(Table1[[#This Row],[substitute date]],"dd-mmm-yyyy")</f>
        <v>15-Jun-2025</v>
      </c>
      <c r="D44" s="1" t="s">
        <v>169</v>
      </c>
      <c r="E44" s="1" t="str">
        <f>PROPER(TRIM(Table1[[#This Row],[Region1]]))</f>
        <v>South</v>
      </c>
      <c r="F4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44" s="1" t="s">
        <v>170</v>
      </c>
      <c r="H44" s="1" t="s">
        <v>170</v>
      </c>
      <c r="I44" s="1" t="s">
        <v>108</v>
      </c>
      <c r="J44" s="1" t="s">
        <v>389</v>
      </c>
      <c r="K44" s="1">
        <v>3</v>
      </c>
      <c r="L44" s="23">
        <v>250000</v>
      </c>
      <c r="M44" s="1" t="s">
        <v>171</v>
      </c>
      <c r="N44" s="5" t="str">
        <f>PROPER(TRIM(Table1[[#This Row],[M Sales Rep]]))</f>
        <v>Mary John</v>
      </c>
      <c r="O44" s="19">
        <f>Table1[[#This Row],[UNIT SOLD]]*Table1[[#This Row],[UNIT PRICE]]</f>
        <v>750000</v>
      </c>
      <c r="P44" s="5" t="s">
        <v>186</v>
      </c>
      <c r="Q44" s="5" t="s">
        <v>246</v>
      </c>
      <c r="R44" s="5" t="s">
        <v>172</v>
      </c>
    </row>
    <row r="45" spans="1:18" x14ac:dyDescent="0.25">
      <c r="A45" s="15">
        <v>45716</v>
      </c>
      <c r="B45" s="15" t="str">
        <f>SUBSTITUTE(Table1[[#This Row],[Inconsistent date]]," .","")</f>
        <v>45716</v>
      </c>
      <c r="C45" s="11" t="str">
        <f>TEXT(Table1[[#This Row],[substitute date]],"dd-mmm-yyyy")</f>
        <v>28-Feb-2025</v>
      </c>
      <c r="D45" s="1" t="s">
        <v>173</v>
      </c>
      <c r="E45" s="1" t="str">
        <f>PROPER(TRIM(Table1[[#This Row],[Region1]]))</f>
        <v>East</v>
      </c>
      <c r="F4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45" s="1" t="s">
        <v>174</v>
      </c>
      <c r="H45" s="1" t="s">
        <v>386</v>
      </c>
      <c r="I45" s="1" t="s">
        <v>175</v>
      </c>
      <c r="J45" s="1" t="s">
        <v>334</v>
      </c>
      <c r="K45" s="1">
        <v>18</v>
      </c>
      <c r="L45" s="23">
        <v>85000</v>
      </c>
      <c r="M45" s="1" t="s">
        <v>176</v>
      </c>
      <c r="N45" s="5" t="str">
        <f>PROPER(TRIM(Table1[[#This Row],[M Sales Rep]]))</f>
        <v>Ifeanyi Okafor</v>
      </c>
      <c r="O45" s="19">
        <f>Table1[[#This Row],[UNIT SOLD]]*Table1[[#This Row],[UNIT PRICE]]</f>
        <v>1530000</v>
      </c>
      <c r="P45" s="5" t="s">
        <v>15</v>
      </c>
      <c r="Q45" s="5" t="s">
        <v>367</v>
      </c>
      <c r="R45" s="5" t="s">
        <v>139</v>
      </c>
    </row>
    <row r="46" spans="1:18" x14ac:dyDescent="0.25">
      <c r="A46" s="15">
        <v>45707</v>
      </c>
      <c r="B46" s="15" t="str">
        <f>SUBSTITUTE(Table1[[#This Row],[Inconsistent date]]," .","")</f>
        <v>45707</v>
      </c>
      <c r="C46" s="11" t="str">
        <f>TEXT(Table1[[#This Row],[substitute date]],"dd-mmm-yyyy")</f>
        <v>19-Feb-2025</v>
      </c>
      <c r="D46" s="1" t="s">
        <v>177</v>
      </c>
      <c r="E46" s="1" t="str">
        <f>PROPER(TRIM(Table1[[#This Row],[Region1]]))</f>
        <v xml:space="preserve">West	</v>
      </c>
      <c r="F4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46" s="1" t="s">
        <v>42</v>
      </c>
      <c r="H46" s="1" t="s">
        <v>78</v>
      </c>
      <c r="I46" s="1" t="s">
        <v>23</v>
      </c>
      <c r="J46" s="1" t="s">
        <v>220</v>
      </c>
      <c r="K46" s="1">
        <v>9</v>
      </c>
      <c r="L46" s="23">
        <v>150000</v>
      </c>
      <c r="M46" s="1" t="s">
        <v>178</v>
      </c>
      <c r="N46" s="5" t="str">
        <f>PROPER(TRIM(Table1[[#This Row],[M Sales Rep]]))</f>
        <v>Mary John</v>
      </c>
      <c r="O46" s="19">
        <f>Table1[[#This Row],[UNIT SOLD]]*Table1[[#This Row],[UNIT PRICE]]</f>
        <v>1350000</v>
      </c>
      <c r="P46" s="5" t="s">
        <v>186</v>
      </c>
      <c r="Q46" s="5" t="s">
        <v>404</v>
      </c>
      <c r="R46" s="5" t="s">
        <v>179</v>
      </c>
    </row>
    <row r="47" spans="1:18" x14ac:dyDescent="0.25">
      <c r="A47" s="15">
        <v>45719</v>
      </c>
      <c r="B47" s="15" t="str">
        <f>SUBSTITUTE(Table1[[#This Row],[Inconsistent date]]," .","")</f>
        <v>45719</v>
      </c>
      <c r="C47" s="11" t="str">
        <f>TEXT(Table1[[#This Row],[substitute date]],"dd-mmm-yyyy")</f>
        <v>03-Mar-2025</v>
      </c>
      <c r="D47" s="1" t="s">
        <v>180</v>
      </c>
      <c r="E47" s="1" t="str">
        <f>PROPER(TRIM(Table1[[#This Row],[Region1]]))</f>
        <v>East</v>
      </c>
      <c r="F4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47" s="1" t="s">
        <v>181</v>
      </c>
      <c r="H47" s="1" t="s">
        <v>78</v>
      </c>
      <c r="I47" s="1" t="s">
        <v>182</v>
      </c>
      <c r="J47" s="1" t="s">
        <v>220</v>
      </c>
      <c r="K47" s="1">
        <v>18</v>
      </c>
      <c r="L47" s="23">
        <v>150000</v>
      </c>
      <c r="M47" s="1" t="s">
        <v>183</v>
      </c>
      <c r="N47" s="5" t="str">
        <f>PROPER(TRIM(Table1[[#This Row],[M Sales Rep]]))</f>
        <v>Fola Balogun</v>
      </c>
      <c r="O47" s="19">
        <f>Table1[[#This Row],[UNIT SOLD]]*Table1[[#This Row],[UNIT PRICE]]</f>
        <v>2700000</v>
      </c>
      <c r="P47" s="5" t="s">
        <v>392</v>
      </c>
      <c r="Q47" s="5" t="s">
        <v>367</v>
      </c>
      <c r="R47" s="5" t="s">
        <v>184</v>
      </c>
    </row>
    <row r="48" spans="1:18" x14ac:dyDescent="0.25">
      <c r="A48" s="15">
        <v>45748</v>
      </c>
      <c r="B48" s="15" t="str">
        <f>SUBSTITUTE(Table1[[#This Row],[Inconsistent date]]," .","")</f>
        <v>45748</v>
      </c>
      <c r="C48" s="11" t="str">
        <f>TEXT(Table1[[#This Row],[substitute date]],"dd-mmm-yyyy")</f>
        <v>01-Apr-2025</v>
      </c>
      <c r="D48" s="1" t="s">
        <v>185</v>
      </c>
      <c r="E48" s="1" t="str">
        <f>PROPER(TRIM(Table1[[#This Row],[Region1]]))</f>
        <v>West</v>
      </c>
      <c r="F4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48" s="1" t="s">
        <v>98</v>
      </c>
      <c r="H48" s="1" t="s">
        <v>78</v>
      </c>
      <c r="I48" s="1" t="s">
        <v>48</v>
      </c>
      <c r="J48" s="1" t="s">
        <v>220</v>
      </c>
      <c r="K48" s="1">
        <v>11</v>
      </c>
      <c r="L48" s="23">
        <v>150000</v>
      </c>
      <c r="M48" s="1" t="s">
        <v>186</v>
      </c>
      <c r="N48" s="5" t="str">
        <f>PROPER(TRIM(Table1[[#This Row],[M Sales Rep]]))</f>
        <v>Mary John</v>
      </c>
      <c r="O48" s="19">
        <f>Table1[[#This Row],[UNIT SOLD]]*Table1[[#This Row],[UNIT PRICE]]</f>
        <v>1650000</v>
      </c>
      <c r="P48" s="5" t="s">
        <v>186</v>
      </c>
      <c r="Q48" s="5" t="s">
        <v>246</v>
      </c>
      <c r="R48" s="5" t="s">
        <v>187</v>
      </c>
    </row>
    <row r="49" spans="1:18" x14ac:dyDescent="0.25">
      <c r="A49" s="15">
        <v>45754</v>
      </c>
      <c r="B49" s="15" t="str">
        <f>SUBSTITUTE(Table1[[#This Row],[Inconsistent date]]," .","")</f>
        <v>45754</v>
      </c>
      <c r="C49" s="11" t="str">
        <f>TEXT(Table1[[#This Row],[substitute date]],"dd-mmm-yyyy")</f>
        <v>07-Apr-2025</v>
      </c>
      <c r="D49" s="1" t="s">
        <v>188</v>
      </c>
      <c r="E49" s="1" t="str">
        <f>PROPER(TRIM(Table1[[#This Row],[Region1]]))</f>
        <v>South</v>
      </c>
      <c r="F4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49" s="1" t="s">
        <v>189</v>
      </c>
      <c r="H49" s="1" t="s">
        <v>238</v>
      </c>
      <c r="I49" s="1" t="s">
        <v>127</v>
      </c>
      <c r="J49" s="1" t="s">
        <v>6</v>
      </c>
      <c r="K49" s="1">
        <v>4</v>
      </c>
      <c r="L49" s="23">
        <v>350000</v>
      </c>
      <c r="M49" s="1" t="s">
        <v>190</v>
      </c>
      <c r="N49" s="5" t="str">
        <f>PROPER(TRIM(Table1[[#This Row],[M Sales Rep]]))</f>
        <v>Grace Amos,</v>
      </c>
      <c r="O49" s="19">
        <f>Table1[[#This Row],[UNIT SOLD]]*Table1[[#This Row],[UNIT PRICE]]</f>
        <v>1400000</v>
      </c>
      <c r="P49" s="5" t="s">
        <v>285</v>
      </c>
      <c r="Q49" s="5" t="s">
        <v>403</v>
      </c>
      <c r="R49" s="5" t="s">
        <v>191</v>
      </c>
    </row>
    <row r="50" spans="1:18" x14ac:dyDescent="0.25">
      <c r="A50" s="15">
        <v>45714</v>
      </c>
      <c r="B50" s="15" t="str">
        <f>SUBSTITUTE(Table1[[#This Row],[Inconsistent date]]," .","")</f>
        <v>45714</v>
      </c>
      <c r="C50" s="11" t="str">
        <f>TEXT(Table1[[#This Row],[substitute date]],"dd-mmm-yyyy")</f>
        <v>26-Feb-2025</v>
      </c>
      <c r="D50" s="1" t="s">
        <v>63</v>
      </c>
      <c r="E50" s="1" t="str">
        <f>PROPER(TRIM(Table1[[#This Row],[Region1]]))</f>
        <v>South</v>
      </c>
      <c r="F5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50" s="1" t="s">
        <v>78</v>
      </c>
      <c r="H50" s="1" t="s">
        <v>78</v>
      </c>
      <c r="I50" s="1" t="s">
        <v>192</v>
      </c>
      <c r="J50" s="1" t="s">
        <v>220</v>
      </c>
      <c r="K50" s="1">
        <v>19</v>
      </c>
      <c r="L50" s="23">
        <v>150000</v>
      </c>
      <c r="M50" s="1" t="s">
        <v>369</v>
      </c>
      <c r="N50" s="5" t="str">
        <f>PROPER(TRIM(Table1[[#This Row],[M Sales Rep]]))</f>
        <v>Praise Odunayo</v>
      </c>
      <c r="O50" s="19">
        <f>Table1[[#This Row],[UNIT SOLD]]*Table1[[#This Row],[UNIT PRICE]]</f>
        <v>2850000</v>
      </c>
      <c r="P50" s="5" t="s">
        <v>397</v>
      </c>
      <c r="Q50" s="5" t="s">
        <v>404</v>
      </c>
      <c r="R50" s="5" t="s">
        <v>193</v>
      </c>
    </row>
    <row r="51" spans="1:18" x14ac:dyDescent="0.25">
      <c r="A51" s="15">
        <v>45809</v>
      </c>
      <c r="B51" s="15" t="str">
        <f>SUBSTITUTE(Table1[[#This Row],[Inconsistent date]]," .","")</f>
        <v>45809</v>
      </c>
      <c r="C51" s="11" t="str">
        <f>TEXT(Table1[[#This Row],[substitute date]],"dd-mmm-yyyy")</f>
        <v>01-Jun-2025</v>
      </c>
      <c r="D51" s="1" t="s">
        <v>36</v>
      </c>
      <c r="E51" s="1" t="str">
        <f>PROPER(TRIM(Table1[[#This Row],[Region1]]))</f>
        <v>East</v>
      </c>
      <c r="F5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51" s="1" t="s">
        <v>194</v>
      </c>
      <c r="H51" s="1" t="s">
        <v>386</v>
      </c>
      <c r="I51" s="1" t="s">
        <v>195</v>
      </c>
      <c r="J51" s="1" t="s">
        <v>334</v>
      </c>
      <c r="K51" s="1">
        <v>7</v>
      </c>
      <c r="L51" s="23">
        <v>85000</v>
      </c>
      <c r="M51" s="1" t="s">
        <v>196</v>
      </c>
      <c r="N51" s="5" t="str">
        <f>PROPER(TRIM(Table1[[#This Row],[M Sales Rep]]))</f>
        <v>Aisha Bello</v>
      </c>
      <c r="O51" s="19">
        <f>Table1[[#This Row],[UNIT SOLD]]*Table1[[#This Row],[UNIT PRICE]]</f>
        <v>595000</v>
      </c>
      <c r="P51" s="5" t="s">
        <v>281</v>
      </c>
      <c r="Q51" s="5" t="s">
        <v>67</v>
      </c>
      <c r="R51" s="5" t="s">
        <v>197</v>
      </c>
    </row>
    <row r="52" spans="1:18" x14ac:dyDescent="0.25">
      <c r="A52" s="15">
        <v>45671</v>
      </c>
      <c r="B52" s="15" t="str">
        <f>SUBSTITUTE(Table1[[#This Row],[Inconsistent date]]," .","")</f>
        <v>45671</v>
      </c>
      <c r="C52" s="11" t="str">
        <f>TEXT(Table1[[#This Row],[substitute date]],"dd-mmm-yyyy")</f>
        <v>14-Jan-2025</v>
      </c>
      <c r="D52" s="1" t="s">
        <v>198</v>
      </c>
      <c r="E52" s="1" t="str">
        <f>PROPER(TRIM(Table1[[#This Row],[Region1]]))</f>
        <v>West</v>
      </c>
      <c r="F5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52" s="1" t="s">
        <v>199</v>
      </c>
      <c r="H52" s="1" t="s">
        <v>385</v>
      </c>
      <c r="I52" s="1" t="s">
        <v>200</v>
      </c>
      <c r="J52" s="1" t="s">
        <v>155</v>
      </c>
      <c r="K52" s="1">
        <v>13</v>
      </c>
      <c r="L52" s="23">
        <v>57912</v>
      </c>
      <c r="M52" s="1" t="s">
        <v>201</v>
      </c>
      <c r="N52" s="5" t="str">
        <f>PROPER(TRIM(Table1[[#This Row],[M Sales Rep]]))</f>
        <v>Fola Balogun</v>
      </c>
      <c r="O52" s="19">
        <f>Table1[[#This Row],[UNIT SOLD]]*Table1[[#This Row],[UNIT PRICE]]</f>
        <v>752856</v>
      </c>
      <c r="P52" s="5" t="s">
        <v>392</v>
      </c>
      <c r="Q52" s="5" t="s">
        <v>402</v>
      </c>
      <c r="R52" s="5" t="s">
        <v>202</v>
      </c>
    </row>
    <row r="53" spans="1:18" x14ac:dyDescent="0.25">
      <c r="A53" s="15">
        <v>45710</v>
      </c>
      <c r="B53" s="15" t="str">
        <f>SUBSTITUTE(Table1[[#This Row],[Inconsistent date]]," .","")</f>
        <v>45710</v>
      </c>
      <c r="C53" s="11" t="str">
        <f>TEXT(Table1[[#This Row],[substitute date]],"dd-mmm-yyyy")</f>
        <v>22-Feb-2025</v>
      </c>
      <c r="D53" s="1" t="s">
        <v>97</v>
      </c>
      <c r="E53" s="1" t="str">
        <f>PROPER(TRIM(Table1[[#This Row],[Region1]]))</f>
        <v>East</v>
      </c>
      <c r="F5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53" s="1" t="s">
        <v>120</v>
      </c>
      <c r="H53" s="1" t="s">
        <v>385</v>
      </c>
      <c r="I53" s="1" t="s">
        <v>203</v>
      </c>
      <c r="J53" s="1" t="s">
        <v>155</v>
      </c>
      <c r="K53" s="1">
        <v>18</v>
      </c>
      <c r="L53" s="23">
        <v>650000</v>
      </c>
      <c r="M53" s="1" t="s">
        <v>204</v>
      </c>
      <c r="N53" s="5" t="str">
        <f>PROPER(TRIM(Table1[[#This Row],[M Sales Rep]]))</f>
        <v>Grace Amos</v>
      </c>
      <c r="O53" s="19">
        <f>Table1[[#This Row],[UNIT SOLD]]*Table1[[#This Row],[UNIT PRICE]]</f>
        <v>11700000</v>
      </c>
      <c r="P53" s="5" t="s">
        <v>285</v>
      </c>
      <c r="Q53" s="5" t="s">
        <v>403</v>
      </c>
      <c r="R53" s="5" t="s">
        <v>205</v>
      </c>
    </row>
    <row r="54" spans="1:18" x14ac:dyDescent="0.25">
      <c r="A54" s="15" t="s">
        <v>373</v>
      </c>
      <c r="B54" s="15" t="str">
        <f>SUBSTITUTE(Table1[[#This Row],[Inconsistent date]]," .","")</f>
        <v>24-amr-2025</v>
      </c>
      <c r="C54" s="11" t="str">
        <f>TEXT(Table1[[#This Row],[substitute date]],"dd-mmm-yyyy")</f>
        <v>24-amr-2025</v>
      </c>
      <c r="D54" s="1" t="s">
        <v>206</v>
      </c>
      <c r="E54" s="1" t="str">
        <f>PROPER(TRIM(Table1[[#This Row],[Region1]]))</f>
        <v>West</v>
      </c>
      <c r="F5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54" s="1" t="s">
        <v>69</v>
      </c>
      <c r="H54" s="1" t="s">
        <v>385</v>
      </c>
      <c r="I54" s="1" t="s">
        <v>147</v>
      </c>
      <c r="J54" s="1" t="s">
        <v>155</v>
      </c>
      <c r="K54" s="1">
        <v>5</v>
      </c>
      <c r="L54" s="23">
        <v>65000</v>
      </c>
      <c r="M54" s="1" t="s">
        <v>207</v>
      </c>
      <c r="N54" s="5" t="str">
        <f>PROPER(TRIM(Table1[[#This Row],[M Sales Rep]]))</f>
        <v>Aisha Bello ,</v>
      </c>
      <c r="O54" s="19">
        <f>Table1[[#This Row],[UNIT SOLD]]*Table1[[#This Row],[UNIT PRICE]]</f>
        <v>325000</v>
      </c>
      <c r="P54" s="5" t="s">
        <v>281</v>
      </c>
      <c r="Q54" s="5" t="s">
        <v>404</v>
      </c>
      <c r="R54" s="5" t="s">
        <v>208</v>
      </c>
    </row>
    <row r="55" spans="1:18" x14ac:dyDescent="0.25">
      <c r="A55" s="15">
        <v>45684</v>
      </c>
      <c r="B55" s="15" t="str">
        <f>SUBSTITUTE(Table1[[#This Row],[Inconsistent date]]," .","")</f>
        <v>45684</v>
      </c>
      <c r="C55" s="11" t="str">
        <f>TEXT(Table1[[#This Row],[substitute date]],"dd-mmm-yyyy")</f>
        <v>27-Jan-2025</v>
      </c>
      <c r="D55" s="1" t="s">
        <v>0</v>
      </c>
      <c r="E55" s="1" t="str">
        <f>PROPER(TRIM(Table1[[#This Row],[Region1]]))</f>
        <v>South</v>
      </c>
      <c r="F5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55" s="1" t="s">
        <v>189</v>
      </c>
      <c r="H55" s="1" t="s">
        <v>238</v>
      </c>
      <c r="I55" s="1" t="s">
        <v>28</v>
      </c>
      <c r="J55" s="1" t="s">
        <v>6</v>
      </c>
      <c r="K55" s="1">
        <v>13</v>
      </c>
      <c r="L55" s="23">
        <v>350000</v>
      </c>
      <c r="M55" s="1" t="s">
        <v>87</v>
      </c>
      <c r="N55" s="5" t="str">
        <f>PROPER(TRIM(Table1[[#This Row],[M Sales Rep]]))</f>
        <v>Chinedu Nwosu</v>
      </c>
      <c r="O55" s="19">
        <f>Table1[[#This Row],[UNIT SOLD]]*Table1[[#This Row],[UNIT PRICE]]</f>
        <v>4550000</v>
      </c>
      <c r="P55" s="5" t="s">
        <v>394</v>
      </c>
      <c r="Q55" s="5" t="s">
        <v>402</v>
      </c>
      <c r="R55" s="5" t="s">
        <v>209</v>
      </c>
    </row>
    <row r="56" spans="1:18" x14ac:dyDescent="0.25">
      <c r="A56" s="15" t="s">
        <v>210</v>
      </c>
      <c r="B56" s="15" t="str">
        <f>SUBSTITUTE(Table1[[#This Row],[Inconsistent date]]," .","")</f>
        <v>04-jna-2025</v>
      </c>
      <c r="C56" s="11" t="str">
        <f>TEXT(Table1[[#This Row],[substitute date]],"dd-mmm-yyyy")</f>
        <v>04-jna-2025</v>
      </c>
      <c r="D56" s="1" t="s">
        <v>211</v>
      </c>
      <c r="E56" s="1" t="str">
        <f>PROPER(TRIM(Table1[[#This Row],[Region1]]))</f>
        <v>West</v>
      </c>
      <c r="F5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56" s="1" t="s">
        <v>212</v>
      </c>
      <c r="H56" s="1" t="s">
        <v>238</v>
      </c>
      <c r="I56" s="1" t="s">
        <v>127</v>
      </c>
      <c r="J56" s="1" t="s">
        <v>6</v>
      </c>
      <c r="K56" s="1">
        <v>19</v>
      </c>
      <c r="L56" s="23">
        <v>350000</v>
      </c>
      <c r="M56" s="1" t="s">
        <v>213</v>
      </c>
      <c r="N56" s="5" t="str">
        <f>PROPER(TRIM(Table1[[#This Row],[M Sales Rep]]))</f>
        <v>Ifeanyi Okafor .</v>
      </c>
      <c r="O56" s="19">
        <f>Table1[[#This Row],[UNIT SOLD]]*Table1[[#This Row],[UNIT PRICE]]</f>
        <v>6650000</v>
      </c>
      <c r="P56" s="5" t="s">
        <v>15</v>
      </c>
      <c r="Q56" s="5" t="s">
        <v>403</v>
      </c>
      <c r="R56" s="5" t="s">
        <v>214</v>
      </c>
    </row>
    <row r="57" spans="1:18" x14ac:dyDescent="0.25">
      <c r="A57" s="15">
        <v>45724</v>
      </c>
      <c r="B57" s="15" t="str">
        <f>SUBSTITUTE(Table1[[#This Row],[Inconsistent date]]," .","")</f>
        <v>45724</v>
      </c>
      <c r="C57" s="11" t="str">
        <f>TEXT(Table1[[#This Row],[substitute date]],"dd-mmm-yyyy")</f>
        <v>08-Mar-2025</v>
      </c>
      <c r="D57" s="1" t="s">
        <v>215</v>
      </c>
      <c r="E57" s="1" t="str">
        <f>PROPER(TRIM(Table1[[#This Row],[Region1]]))</f>
        <v>North</v>
      </c>
      <c r="F5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57" s="1" t="s">
        <v>216</v>
      </c>
      <c r="H57" s="1" t="s">
        <v>9</v>
      </c>
      <c r="I57" s="1" t="s">
        <v>19</v>
      </c>
      <c r="J57" s="1" t="s">
        <v>220</v>
      </c>
      <c r="K57" s="1">
        <v>9</v>
      </c>
      <c r="L57" s="23">
        <v>180000</v>
      </c>
      <c r="M57" s="1" t="s">
        <v>217</v>
      </c>
      <c r="N57" s="5" t="str">
        <f>PROPER(TRIM(Table1[[#This Row],[M Sales Rep]]))</f>
        <v>Aisha Bello</v>
      </c>
      <c r="O57" s="19">
        <f>Table1[[#This Row],[UNIT SOLD]]*Table1[[#This Row],[UNIT PRICE]]</f>
        <v>1620000</v>
      </c>
      <c r="P57" s="5" t="s">
        <v>281</v>
      </c>
      <c r="Q57" s="5" t="s">
        <v>400</v>
      </c>
      <c r="R57" s="5" t="s">
        <v>218</v>
      </c>
    </row>
    <row r="58" spans="1:18" x14ac:dyDescent="0.25">
      <c r="A58" s="15">
        <v>45680</v>
      </c>
      <c r="B58" s="15" t="str">
        <f>SUBSTITUTE(Table1[[#This Row],[Inconsistent date]]," .","")</f>
        <v>45680</v>
      </c>
      <c r="C58" s="11" t="str">
        <f>TEXT(Table1[[#This Row],[substitute date]],"dd-mmm-yyyy")</f>
        <v>23-Jan-2025</v>
      </c>
      <c r="D58" s="1" t="s">
        <v>68</v>
      </c>
      <c r="E58" s="1" t="str">
        <f>PROPER(TRIM(Table1[[#This Row],[Region1]]))</f>
        <v>East</v>
      </c>
      <c r="F5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58" s="1" t="s">
        <v>219</v>
      </c>
      <c r="H58" s="1" t="s">
        <v>78</v>
      </c>
      <c r="I58" s="1" t="s">
        <v>220</v>
      </c>
      <c r="J58" s="1" t="s">
        <v>220</v>
      </c>
      <c r="K58" s="1">
        <v>10</v>
      </c>
      <c r="L58" s="23">
        <v>150000</v>
      </c>
      <c r="M58" s="1" t="s">
        <v>221</v>
      </c>
      <c r="N58" s="5" t="str">
        <f>PROPER(TRIM(Table1[[#This Row],[M Sales Rep]]))</f>
        <v>Chinedu Nwosu,</v>
      </c>
      <c r="O58" s="19">
        <f>Table1[[#This Row],[UNIT SOLD]]*Table1[[#This Row],[UNIT PRICE]]</f>
        <v>1500000</v>
      </c>
      <c r="P58" s="5" t="s">
        <v>394</v>
      </c>
      <c r="Q58" s="5" t="s">
        <v>405</v>
      </c>
      <c r="R58" s="5" t="s">
        <v>222</v>
      </c>
    </row>
    <row r="59" spans="1:18" x14ac:dyDescent="0.25">
      <c r="A59" s="15">
        <v>45673</v>
      </c>
      <c r="B59" s="15" t="str">
        <f>SUBSTITUTE(Table1[[#This Row],[Inconsistent date]]," .","")</f>
        <v>45673</v>
      </c>
      <c r="C59" s="11" t="str">
        <f>TEXT(Table1[[#This Row],[substitute date]],"dd-mmm-yyyy")</f>
        <v>16-Jan-2025</v>
      </c>
      <c r="D59" s="1" t="s">
        <v>4</v>
      </c>
      <c r="E59" s="1" t="str">
        <f>PROPER(TRIM(Table1[[#This Row],[Region1]]))</f>
        <v>East</v>
      </c>
      <c r="F5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59" s="1" t="s">
        <v>194</v>
      </c>
      <c r="H59" s="1" t="s">
        <v>386</v>
      </c>
      <c r="I59" s="1" t="s">
        <v>223</v>
      </c>
      <c r="J59" s="1" t="s">
        <v>334</v>
      </c>
      <c r="K59" s="1">
        <v>10</v>
      </c>
      <c r="L59" s="23">
        <v>85000</v>
      </c>
      <c r="M59" s="1" t="s">
        <v>217</v>
      </c>
      <c r="N59" s="5" t="str">
        <f>PROPER(TRIM(Table1[[#This Row],[M Sales Rep]]))</f>
        <v>Aisha Bello</v>
      </c>
      <c r="O59" s="19">
        <f>Table1[[#This Row],[UNIT SOLD]]*Table1[[#This Row],[UNIT PRICE]]</f>
        <v>850000</v>
      </c>
      <c r="P59" s="5" t="s">
        <v>281</v>
      </c>
      <c r="Q59" s="5" t="s">
        <v>404</v>
      </c>
      <c r="R59" s="5" t="s">
        <v>224</v>
      </c>
    </row>
    <row r="60" spans="1:18" x14ac:dyDescent="0.25">
      <c r="A60" s="15" t="s">
        <v>225</v>
      </c>
      <c r="B60" s="15" t="str">
        <f>SUBSTITUTE(Table1[[#This Row],[Inconsistent date]]," .","")</f>
        <v>05F-eb-2025</v>
      </c>
      <c r="C60" s="11" t="str">
        <f>TEXT(Table1[[#This Row],[substitute date]],"dd-mmm-yyyy")</f>
        <v>05F-eb-2025</v>
      </c>
      <c r="D60" s="1" t="s">
        <v>226</v>
      </c>
      <c r="E60" s="1" t="str">
        <f>PROPER(TRIM(Table1[[#This Row],[Region1]]))</f>
        <v>Sout	H</v>
      </c>
      <c r="F6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60" s="1" t="s">
        <v>227</v>
      </c>
      <c r="H60" s="1" t="s">
        <v>170</v>
      </c>
      <c r="I60" s="1" t="s">
        <v>228</v>
      </c>
      <c r="J60" s="1" t="s">
        <v>389</v>
      </c>
      <c r="K60" s="1">
        <v>5</v>
      </c>
      <c r="L60" s="23">
        <v>25000</v>
      </c>
      <c r="M60" s="1" t="s">
        <v>229</v>
      </c>
      <c r="N60" s="5" t="str">
        <f>PROPER(TRIM(Table1[[#This Row],[M Sales Rep]]))</f>
        <v>Aisha Bello</v>
      </c>
      <c r="O60" s="19">
        <f>Table1[[#This Row],[UNIT SOLD]]*Table1[[#This Row],[UNIT PRICE]]</f>
        <v>125000</v>
      </c>
      <c r="P60" s="5" t="s">
        <v>281</v>
      </c>
      <c r="Q60" s="5" t="s">
        <v>408</v>
      </c>
      <c r="R60" s="5" t="s">
        <v>230</v>
      </c>
    </row>
    <row r="61" spans="1:18" x14ac:dyDescent="0.25">
      <c r="A61" s="15">
        <v>45802</v>
      </c>
      <c r="B61" s="15" t="str">
        <f>SUBSTITUTE(Table1[[#This Row],[Inconsistent date]]," .","")</f>
        <v>45802</v>
      </c>
      <c r="C61" s="11" t="str">
        <f>TEXT(Table1[[#This Row],[substitute date]],"dd-mmm-yyyy")</f>
        <v>25-May-2025</v>
      </c>
      <c r="D61" s="1" t="s">
        <v>231</v>
      </c>
      <c r="E61" s="1" t="str">
        <f>PROPER(TRIM(Table1[[#This Row],[Region1]]))</f>
        <v>East</v>
      </c>
      <c r="F6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61" s="1" t="s">
        <v>133</v>
      </c>
      <c r="H61" s="1" t="s">
        <v>78</v>
      </c>
      <c r="I61" s="1" t="s">
        <v>220</v>
      </c>
      <c r="J61" s="1" t="s">
        <v>220</v>
      </c>
      <c r="K61" s="1">
        <v>1</v>
      </c>
      <c r="L61" s="23">
        <v>150000</v>
      </c>
      <c r="M61" s="1" t="s">
        <v>92</v>
      </c>
      <c r="N61" s="5" t="str">
        <f>PROPER(TRIM(Table1[[#This Row],[M Sales Rep]]))</f>
        <v>Grace Amos</v>
      </c>
      <c r="O61" s="19">
        <f>Table1[[#This Row],[UNIT SOLD]]*Table1[[#This Row],[UNIT PRICE]]</f>
        <v>150000</v>
      </c>
      <c r="P61" s="5" t="s">
        <v>285</v>
      </c>
      <c r="Q61" s="5" t="s">
        <v>50</v>
      </c>
      <c r="R61" s="5" t="s">
        <v>8</v>
      </c>
    </row>
    <row r="62" spans="1:18" x14ac:dyDescent="0.25">
      <c r="A62" s="15">
        <v>45663</v>
      </c>
      <c r="B62" s="15" t="str">
        <f>SUBSTITUTE(Table1[[#This Row],[Inconsistent date]]," .","")</f>
        <v>45663</v>
      </c>
      <c r="C62" s="11" t="str">
        <f>TEXT(Table1[[#This Row],[substitute date]],"dd-mmm-yyyy")</f>
        <v>06-Jan-2025</v>
      </c>
      <c r="D62" s="1" t="s">
        <v>232</v>
      </c>
      <c r="E62" s="1" t="str">
        <f>PROPER(TRIM(Table1[[#This Row],[Region1]]))</f>
        <v>South</v>
      </c>
      <c r="F6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62" s="1" t="s">
        <v>233</v>
      </c>
      <c r="H62" s="1" t="s">
        <v>78</v>
      </c>
      <c r="I62" s="1" t="s">
        <v>234</v>
      </c>
      <c r="J62" s="1" t="s">
        <v>220</v>
      </c>
      <c r="K62" s="1">
        <v>20</v>
      </c>
      <c r="L62" s="23">
        <v>150000</v>
      </c>
      <c r="M62" s="1" t="s">
        <v>235</v>
      </c>
      <c r="N62" s="5" t="str">
        <f>PROPER(TRIM(Table1[[#This Row],[M Sales Rep]]))</f>
        <v>Aisha Bello</v>
      </c>
      <c r="O62" s="19">
        <f>Table1[[#This Row],[UNIT SOLD]]*Table1[[#This Row],[UNIT PRICE]]</f>
        <v>3000000</v>
      </c>
      <c r="P62" s="5" t="s">
        <v>281</v>
      </c>
      <c r="Q62" s="5" t="s">
        <v>401</v>
      </c>
      <c r="R62" s="5" t="s">
        <v>236</v>
      </c>
    </row>
    <row r="63" spans="1:18" x14ac:dyDescent="0.25">
      <c r="A63" s="15">
        <v>45694</v>
      </c>
      <c r="B63" s="15" t="str">
        <f>SUBSTITUTE(Table1[[#This Row],[Inconsistent date]]," .","")</f>
        <v>45694</v>
      </c>
      <c r="C63" s="11" t="str">
        <f>TEXT(Table1[[#This Row],[substitute date]],"dd-mmm-yyyy")</f>
        <v>06-Feb-2025</v>
      </c>
      <c r="D63" s="1" t="s">
        <v>237</v>
      </c>
      <c r="E63" s="1" t="str">
        <f>PROPER(TRIM(Table1[[#This Row],[Region1]]))</f>
        <v xml:space="preserve">South 	</v>
      </c>
      <c r="F6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63" s="1" t="s">
        <v>238</v>
      </c>
      <c r="H63" s="1" t="s">
        <v>238</v>
      </c>
      <c r="I63" s="1" t="s">
        <v>239</v>
      </c>
      <c r="J63" s="1" t="s">
        <v>6</v>
      </c>
      <c r="K63" s="1">
        <v>11</v>
      </c>
      <c r="L63" s="23">
        <v>350000</v>
      </c>
      <c r="M63" s="1" t="s">
        <v>240</v>
      </c>
      <c r="N63" s="5" t="str">
        <f>PROPER(TRIM(Table1[[#This Row],[M Sales Rep]]))</f>
        <v>Chinedu Nwosu</v>
      </c>
      <c r="O63" s="19">
        <f>Table1[[#This Row],[UNIT SOLD]]*Table1[[#This Row],[UNIT PRICE]]</f>
        <v>3850000</v>
      </c>
      <c r="P63" s="5" t="s">
        <v>394</v>
      </c>
      <c r="Q63" s="5" t="s">
        <v>407</v>
      </c>
      <c r="R63" s="5" t="s">
        <v>241</v>
      </c>
    </row>
    <row r="64" spans="1:18" x14ac:dyDescent="0.25">
      <c r="A64" s="15">
        <v>45671</v>
      </c>
      <c r="B64" s="15" t="str">
        <f>SUBSTITUTE(Table1[[#This Row],[Inconsistent date]]," .","")</f>
        <v>45671</v>
      </c>
      <c r="C64" s="11" t="str">
        <f>TEXT(Table1[[#This Row],[substitute date]],"dd-mmm-yyyy")</f>
        <v>14-Jan-2025</v>
      </c>
      <c r="D64" s="1" t="s">
        <v>242</v>
      </c>
      <c r="E64" s="1" t="str">
        <f>PROPER(TRIM(Table1[[#This Row],[Region1]]))</f>
        <v>East,</v>
      </c>
      <c r="F6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64" s="1" t="s">
        <v>243</v>
      </c>
      <c r="H64" s="1" t="s">
        <v>170</v>
      </c>
      <c r="I64" s="1" t="s">
        <v>244</v>
      </c>
      <c r="J64" s="1" t="s">
        <v>389</v>
      </c>
      <c r="K64" s="1">
        <v>14</v>
      </c>
      <c r="L64" s="23">
        <v>250000</v>
      </c>
      <c r="M64" s="1" t="s">
        <v>245</v>
      </c>
      <c r="N64" s="5" t="str">
        <f>PROPER(TRIM(Table1[[#This Row],[M Sales Rep]]))</f>
        <v>Chinedu Nwosu</v>
      </c>
      <c r="O64" s="19">
        <f>Table1[[#This Row],[UNIT SOLD]]*Table1[[#This Row],[UNIT PRICE]]</f>
        <v>3500000</v>
      </c>
      <c r="P64" s="5" t="s">
        <v>394</v>
      </c>
      <c r="Q64" s="5" t="s">
        <v>246</v>
      </c>
      <c r="R64" s="5" t="s">
        <v>246</v>
      </c>
    </row>
    <row r="65" spans="1:18" x14ac:dyDescent="0.25">
      <c r="A65" s="15">
        <v>45779</v>
      </c>
      <c r="B65" s="15" t="str">
        <f>SUBSTITUTE(Table1[[#This Row],[Inconsistent date]]," .","")</f>
        <v>45779</v>
      </c>
      <c r="C65" s="11" t="str">
        <f>TEXT(Table1[[#This Row],[substitute date]],"dd-mmm-yyyy")</f>
        <v>02-May-2025</v>
      </c>
      <c r="D65" s="1" t="s">
        <v>247</v>
      </c>
      <c r="E65" s="1" t="str">
        <f>PROPER(TRIM(Table1[[#This Row],[Region1]]))</f>
        <v>Wes	T</v>
      </c>
      <c r="F6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65" s="1" t="s">
        <v>78</v>
      </c>
      <c r="H65" s="1" t="s">
        <v>78</v>
      </c>
      <c r="I65" s="1" t="s">
        <v>10</v>
      </c>
      <c r="J65" s="1" t="s">
        <v>220</v>
      </c>
      <c r="K65" s="1">
        <v>3</v>
      </c>
      <c r="L65" s="23">
        <v>150000</v>
      </c>
      <c r="M65" s="1" t="s">
        <v>248</v>
      </c>
      <c r="N65" s="5" t="str">
        <f>PROPER(TRIM(Table1[[#This Row],[M Sales Rep]]))</f>
        <v>Aisha Bello ,</v>
      </c>
      <c r="O65" s="19">
        <f>Table1[[#This Row],[UNIT SOLD]]*Table1[[#This Row],[UNIT PRICE]]</f>
        <v>450000</v>
      </c>
      <c r="P65" s="5" t="s">
        <v>281</v>
      </c>
      <c r="Q65" s="5" t="s">
        <v>67</v>
      </c>
      <c r="R65" s="5" t="s">
        <v>3</v>
      </c>
    </row>
    <row r="66" spans="1:18" x14ac:dyDescent="0.25">
      <c r="A66" s="15">
        <v>111568</v>
      </c>
      <c r="B66" s="15" t="str">
        <f>SUBSTITUTE(Table1[[#This Row],[Inconsistent date]]," .","")</f>
        <v>111568</v>
      </c>
      <c r="C66" s="11" t="str">
        <f>TEXT(Table1[[#This Row],[substitute date]],"dd-mmm-yyyy")</f>
        <v>17-Jun-2205</v>
      </c>
      <c r="D66" s="1" t="s">
        <v>231</v>
      </c>
      <c r="E66" s="1" t="str">
        <f>PROPER(TRIM(Table1[[#This Row],[Region1]]))</f>
        <v>East</v>
      </c>
      <c r="F6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66" s="1" t="s">
        <v>249</v>
      </c>
      <c r="H66" s="1" t="s">
        <v>386</v>
      </c>
      <c r="I66" s="1" t="s">
        <v>175</v>
      </c>
      <c r="J66" s="1" t="s">
        <v>334</v>
      </c>
      <c r="K66" s="1">
        <v>6</v>
      </c>
      <c r="L66" s="23">
        <v>85000</v>
      </c>
      <c r="M66" s="1" t="s">
        <v>250</v>
      </c>
      <c r="N66" s="5" t="str">
        <f>PROPER(TRIM(Table1[[#This Row],[M Sales Rep]]))</f>
        <v>Fola Balogun</v>
      </c>
      <c r="O66" s="19">
        <f>Table1[[#This Row],[UNIT SOLD]]*Table1[[#This Row],[UNIT PRICE]]</f>
        <v>510000</v>
      </c>
      <c r="P66" s="5" t="s">
        <v>392</v>
      </c>
      <c r="Q66" s="5" t="s">
        <v>401</v>
      </c>
      <c r="R66" s="5" t="s">
        <v>251</v>
      </c>
    </row>
    <row r="67" spans="1:18" x14ac:dyDescent="0.25">
      <c r="A67" s="15">
        <v>45670</v>
      </c>
      <c r="B67" s="15" t="str">
        <f>SUBSTITUTE(Table1[[#This Row],[Inconsistent date]]," .","")</f>
        <v>45670</v>
      </c>
      <c r="C67" s="11" t="str">
        <f>TEXT(Table1[[#This Row],[substitute date]],"dd-mmm-yyyy")</f>
        <v>13-Jan-2025</v>
      </c>
      <c r="D67" s="1" t="s">
        <v>252</v>
      </c>
      <c r="E67" s="1" t="str">
        <f>PROPER(TRIM(Table1[[#This Row],[Region1]]))</f>
        <v>West.</v>
      </c>
      <c r="F6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67" s="1" t="s">
        <v>238</v>
      </c>
      <c r="H67" s="1" t="s">
        <v>238</v>
      </c>
      <c r="I67" s="1" t="s">
        <v>6</v>
      </c>
      <c r="J67" s="1" t="s">
        <v>6</v>
      </c>
      <c r="K67" s="1">
        <v>15</v>
      </c>
      <c r="L67" s="23">
        <v>350000</v>
      </c>
      <c r="M67" s="1" t="s">
        <v>253</v>
      </c>
      <c r="N67" s="5" t="str">
        <f>PROPER(TRIM(Table1[[#This Row],[M Sales Rep]]))</f>
        <v>Chinedu Nwosu</v>
      </c>
      <c r="O67" s="19">
        <f>Table1[[#This Row],[UNIT SOLD]]*Table1[[#This Row],[UNIT PRICE]]</f>
        <v>5250000</v>
      </c>
      <c r="P67" s="5" t="s">
        <v>394</v>
      </c>
      <c r="Q67" s="5" t="s">
        <v>407</v>
      </c>
      <c r="R67" s="5" t="s">
        <v>254</v>
      </c>
    </row>
    <row r="68" spans="1:18" x14ac:dyDescent="0.25">
      <c r="A68" s="15">
        <v>45810</v>
      </c>
      <c r="B68" s="15" t="str">
        <f>SUBSTITUTE(Table1[[#This Row],[Inconsistent date]]," .","")</f>
        <v>45810</v>
      </c>
      <c r="C68" s="11" t="str">
        <f>TEXT(Table1[[#This Row],[substitute date]],"dd-mmm-yyyy")</f>
        <v>02-Jun-2025</v>
      </c>
      <c r="D68" s="1" t="s">
        <v>85</v>
      </c>
      <c r="E68" s="1" t="str">
        <f>PROPER(TRIM(Table1[[#This Row],[Region1]]))</f>
        <v>North</v>
      </c>
      <c r="F6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68" s="1" t="s">
        <v>78</v>
      </c>
      <c r="H68" s="1" t="s">
        <v>78</v>
      </c>
      <c r="I68" s="1" t="s">
        <v>255</v>
      </c>
      <c r="J68" s="1" t="s">
        <v>220</v>
      </c>
      <c r="K68" s="1">
        <v>16</v>
      </c>
      <c r="L68" s="23">
        <v>150000</v>
      </c>
      <c r="M68" s="1" t="s">
        <v>256</v>
      </c>
      <c r="N68" s="5" t="str">
        <f>PROPER(TRIM(Table1[[#This Row],[M Sales Rep]]))</f>
        <v>Ifeanyi Okafor</v>
      </c>
      <c r="O68" s="19">
        <f>Table1[[#This Row],[UNIT SOLD]]*Table1[[#This Row],[UNIT PRICE]]</f>
        <v>2400000</v>
      </c>
      <c r="P68" s="5" t="s">
        <v>15</v>
      </c>
      <c r="Q68" s="5" t="s">
        <v>246</v>
      </c>
      <c r="R68" s="5" t="s">
        <v>246</v>
      </c>
    </row>
    <row r="69" spans="1:18" x14ac:dyDescent="0.25">
      <c r="A69" s="15">
        <v>45704</v>
      </c>
      <c r="B69" s="15" t="str">
        <f>SUBSTITUTE(Table1[[#This Row],[Inconsistent date]]," .","")</f>
        <v>45704</v>
      </c>
      <c r="C69" s="11" t="str">
        <f>TEXT(Table1[[#This Row],[substitute date]],"dd-mmm-yyyy")</f>
        <v>16-Feb-2025</v>
      </c>
      <c r="D69" s="1" t="s">
        <v>153</v>
      </c>
      <c r="E69" s="1" t="str">
        <f>PROPER(TRIM(Table1[[#This Row],[Region1]]))</f>
        <v>East</v>
      </c>
      <c r="F6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69" s="1" t="s">
        <v>257</v>
      </c>
      <c r="H69" s="1" t="s">
        <v>154</v>
      </c>
      <c r="I69" s="1" t="s">
        <v>258</v>
      </c>
      <c r="J69" s="1" t="s">
        <v>155</v>
      </c>
      <c r="K69" s="1">
        <v>8</v>
      </c>
      <c r="L69" s="23">
        <v>175000</v>
      </c>
      <c r="M69" s="1" t="s">
        <v>259</v>
      </c>
      <c r="N69" s="5" t="str">
        <f>PROPER(TRIM(Table1[[#This Row],[M Sales Rep]]))</f>
        <v>Peter Obi</v>
      </c>
      <c r="O69" s="19">
        <f>Table1[[#This Row],[UNIT SOLD]]*Table1[[#This Row],[UNIT PRICE]]</f>
        <v>1400000</v>
      </c>
      <c r="P69" s="5" t="s">
        <v>396</v>
      </c>
      <c r="Q69" s="5" t="s">
        <v>67</v>
      </c>
      <c r="R69" s="5" t="s">
        <v>67</v>
      </c>
    </row>
    <row r="70" spans="1:18" x14ac:dyDescent="0.25">
      <c r="A70" s="15" t="s">
        <v>260</v>
      </c>
      <c r="B70" s="15" t="str">
        <f>SUBSTITUTE(Table1[[#This Row],[Inconsistent date]]," .","")</f>
        <v>14-APR-2025.</v>
      </c>
      <c r="C70" s="11" t="str">
        <f>TEXT(Table1[[#This Row],[substitute date]],"dd-mmm-yyyy")</f>
        <v>14-APR-2025.</v>
      </c>
      <c r="D70" s="1" t="s">
        <v>188</v>
      </c>
      <c r="E70" s="1" t="str">
        <f>PROPER(TRIM(Table1[[#This Row],[Region1]]))</f>
        <v>South</v>
      </c>
      <c r="F7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70" s="1" t="s">
        <v>261</v>
      </c>
      <c r="H70" s="1" t="s">
        <v>386</v>
      </c>
      <c r="I70" s="1" t="s">
        <v>262</v>
      </c>
      <c r="J70" s="1" t="s">
        <v>334</v>
      </c>
      <c r="K70" s="1">
        <v>2</v>
      </c>
      <c r="L70" s="23">
        <v>85000</v>
      </c>
      <c r="M70" s="1" t="s">
        <v>263</v>
      </c>
      <c r="N70" s="5" t="str">
        <f>PROPER(TRIM(Table1[[#This Row],[M Sales Rep]]))</f>
        <v>Chinedu Nwosu</v>
      </c>
      <c r="O70" s="19">
        <f>Table1[[#This Row],[UNIT SOLD]]*Table1[[#This Row],[UNIT PRICE]]</f>
        <v>170000</v>
      </c>
      <c r="P70" s="5" t="s">
        <v>394</v>
      </c>
      <c r="Q70" s="5" t="s">
        <v>404</v>
      </c>
      <c r="R70" s="5" t="s">
        <v>264</v>
      </c>
    </row>
    <row r="71" spans="1:18" x14ac:dyDescent="0.25">
      <c r="A71" s="15">
        <v>45663</v>
      </c>
      <c r="B71" s="15" t="str">
        <f>SUBSTITUTE(Table1[[#This Row],[Inconsistent date]]," .","")</f>
        <v>45663</v>
      </c>
      <c r="C71" s="11" t="str">
        <f>TEXT(Table1[[#This Row],[substitute date]],"dd-mmm-yyyy")</f>
        <v>06-Jan-2025</v>
      </c>
      <c r="D71" s="1" t="s">
        <v>101</v>
      </c>
      <c r="E71" s="1" t="str">
        <f>PROPER(TRIM(Table1[[#This Row],[Region1]]))</f>
        <v>North</v>
      </c>
      <c r="F7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71" s="1" t="s">
        <v>265</v>
      </c>
      <c r="H71" s="1" t="s">
        <v>170</v>
      </c>
      <c r="I71" s="1" t="s">
        <v>266</v>
      </c>
      <c r="J71" s="1" t="s">
        <v>389</v>
      </c>
      <c r="K71" s="1">
        <v>13</v>
      </c>
      <c r="L71" s="23">
        <v>250000</v>
      </c>
      <c r="M71" s="1" t="s">
        <v>267</v>
      </c>
      <c r="N71" s="5" t="str">
        <f>PROPER(TRIM(Table1[[#This Row],[M Sales Rep]]))</f>
        <v>Grace Amos .</v>
      </c>
      <c r="O71" s="19">
        <f>Table1[[#This Row],[UNIT SOLD]]*Table1[[#This Row],[UNIT PRICE]]</f>
        <v>3250000</v>
      </c>
      <c r="P71" s="5" t="s">
        <v>285</v>
      </c>
      <c r="Q71" s="5" t="s">
        <v>246</v>
      </c>
      <c r="R71" s="5" t="s">
        <v>268</v>
      </c>
    </row>
    <row r="72" spans="1:18" x14ac:dyDescent="0.25">
      <c r="A72" s="15">
        <v>45668</v>
      </c>
      <c r="B72" s="15" t="str">
        <f>SUBSTITUTE(Table1[[#This Row],[Inconsistent date]]," .","")</f>
        <v>45668</v>
      </c>
      <c r="C72" s="11" t="str">
        <f>TEXT(Table1[[#This Row],[substitute date]],"dd-mmm-yyyy")</f>
        <v>11-Jan-2025</v>
      </c>
      <c r="D72" s="1" t="s">
        <v>130</v>
      </c>
      <c r="E72" s="1" t="str">
        <f>PROPER(TRIM(Table1[[#This Row],[Region1]]))</f>
        <v>West</v>
      </c>
      <c r="F7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72" s="1" t="s">
        <v>120</v>
      </c>
      <c r="H72" s="1" t="s">
        <v>385</v>
      </c>
      <c r="I72" s="1" t="s">
        <v>33</v>
      </c>
      <c r="J72" s="1" t="s">
        <v>155</v>
      </c>
      <c r="K72" s="1">
        <v>11</v>
      </c>
      <c r="L72" s="23">
        <v>65000</v>
      </c>
      <c r="M72" s="1" t="s">
        <v>269</v>
      </c>
      <c r="N72" s="5" t="str">
        <f>PROPER(TRIM(Table1[[#This Row],[M Sales Rep]]))</f>
        <v>Chinedu Nwosu</v>
      </c>
      <c r="O72" s="19">
        <f>Table1[[#This Row],[UNIT SOLD]]*Table1[[#This Row],[UNIT PRICE]]</f>
        <v>715000</v>
      </c>
      <c r="P72" s="5" t="s">
        <v>394</v>
      </c>
      <c r="Q72" s="5" t="s">
        <v>407</v>
      </c>
      <c r="R72" s="5" t="s">
        <v>270</v>
      </c>
    </row>
    <row r="73" spans="1:18" x14ac:dyDescent="0.25">
      <c r="A73" s="15">
        <v>45825</v>
      </c>
      <c r="B73" s="15" t="str">
        <f>SUBSTITUTE(Table1[[#This Row],[Inconsistent date]]," .","")</f>
        <v>45825</v>
      </c>
      <c r="C73" s="11" t="str">
        <f>TEXT(Table1[[#This Row],[substitute date]],"dd-mmm-yyyy")</f>
        <v>17-Jun-2025</v>
      </c>
      <c r="D73" s="1" t="s">
        <v>271</v>
      </c>
      <c r="E73" s="1" t="str">
        <f>PROPER(TRIM(Table1[[#This Row],[Region1]]))</f>
        <v>South,</v>
      </c>
      <c r="F7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73" s="1" t="s">
        <v>272</v>
      </c>
      <c r="H73" s="1" t="s">
        <v>238</v>
      </c>
      <c r="I73" s="1" t="s">
        <v>273</v>
      </c>
      <c r="J73" s="1" t="s">
        <v>6</v>
      </c>
      <c r="K73" s="1">
        <v>17</v>
      </c>
      <c r="L73" s="23">
        <v>3500</v>
      </c>
      <c r="M73" s="1" t="s">
        <v>274</v>
      </c>
      <c r="N73" s="5" t="str">
        <f>PROPER(TRIM(Table1[[#This Row],[M Sales Rep]]))</f>
        <v>Chinedu Nwosu</v>
      </c>
      <c r="O73" s="19">
        <f>Table1[[#This Row],[UNIT SOLD]]*Table1[[#This Row],[UNIT PRICE]]</f>
        <v>59500</v>
      </c>
      <c r="P73" s="5" t="s">
        <v>394</v>
      </c>
      <c r="Q73" s="5" t="s">
        <v>406</v>
      </c>
      <c r="R73" s="5" t="s">
        <v>275</v>
      </c>
    </row>
    <row r="74" spans="1:18" x14ac:dyDescent="0.25">
      <c r="A74" s="15">
        <v>45671</v>
      </c>
      <c r="B74" s="15" t="str">
        <f>SUBSTITUTE(Table1[[#This Row],[Inconsistent date]]," .","")</f>
        <v>45671</v>
      </c>
      <c r="C74" s="11" t="str">
        <f>TEXT(Table1[[#This Row],[substitute date]],"dd-mmm-yyyy")</f>
        <v>14-Jan-2025</v>
      </c>
      <c r="D74" s="1" t="s">
        <v>41</v>
      </c>
      <c r="E74" s="1" t="str">
        <f>PROPER(TRIM(Table1[[#This Row],[Region1]]))</f>
        <v>West</v>
      </c>
      <c r="F7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74" s="1" t="s">
        <v>276</v>
      </c>
      <c r="H74" s="1" t="s">
        <v>385</v>
      </c>
      <c r="I74" s="1" t="s">
        <v>277</v>
      </c>
      <c r="J74" s="1" t="s">
        <v>155</v>
      </c>
      <c r="K74" s="1">
        <v>18</v>
      </c>
      <c r="L74" s="23">
        <v>65000</v>
      </c>
      <c r="M74" s="1" t="s">
        <v>87</v>
      </c>
      <c r="N74" s="5" t="str">
        <f>PROPER(TRIM(Table1[[#This Row],[M Sales Rep]]))</f>
        <v>Chinedu Nwosu</v>
      </c>
      <c r="O74" s="19">
        <f>Table1[[#This Row],[UNIT SOLD]]*Table1[[#This Row],[UNIT PRICE]]</f>
        <v>1170000</v>
      </c>
      <c r="P74" s="5" t="s">
        <v>394</v>
      </c>
      <c r="Q74" s="5" t="s">
        <v>402</v>
      </c>
      <c r="R74" s="5" t="s">
        <v>84</v>
      </c>
    </row>
    <row r="75" spans="1:18" x14ac:dyDescent="0.25">
      <c r="A75" s="15">
        <v>45806</v>
      </c>
      <c r="B75" s="15" t="str">
        <f>SUBSTITUTE(Table1[[#This Row],[Inconsistent date]]," .","")</f>
        <v>45806</v>
      </c>
      <c r="C75" s="11" t="str">
        <f>TEXT(Table1[[#This Row],[substitute date]],"dd-mmm-yyyy")</f>
        <v>29-May-2025</v>
      </c>
      <c r="D75" s="1" t="s">
        <v>36</v>
      </c>
      <c r="E75" s="1" t="str">
        <f>PROPER(TRIM(Table1[[#This Row],[Region1]]))</f>
        <v>East</v>
      </c>
      <c r="F7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75" s="1" t="s">
        <v>278</v>
      </c>
      <c r="H75" s="1" t="s">
        <v>9</v>
      </c>
      <c r="I75" s="1" t="s">
        <v>220</v>
      </c>
      <c r="J75" s="1" t="s">
        <v>220</v>
      </c>
      <c r="K75" s="1">
        <v>13</v>
      </c>
      <c r="L75" s="23">
        <v>180000</v>
      </c>
      <c r="M75" s="1" t="s">
        <v>109</v>
      </c>
      <c r="N75" s="5" t="str">
        <f>PROPER(TRIM(Table1[[#This Row],[M Sales Rep]]))</f>
        <v>Grace Amos</v>
      </c>
      <c r="O75" s="19">
        <f>Table1[[#This Row],[UNIT SOLD]]*Table1[[#This Row],[UNIT PRICE]]</f>
        <v>2340000</v>
      </c>
      <c r="P75" s="5" t="s">
        <v>285</v>
      </c>
      <c r="Q75" s="5" t="s">
        <v>408</v>
      </c>
      <c r="R75" s="5" t="s">
        <v>279</v>
      </c>
    </row>
    <row r="76" spans="1:18" x14ac:dyDescent="0.25">
      <c r="A76" s="15">
        <v>45731</v>
      </c>
      <c r="B76" s="15" t="str">
        <f>SUBSTITUTE(Table1[[#This Row],[Inconsistent date]]," .","")</f>
        <v>45731</v>
      </c>
      <c r="C76" s="11" t="str">
        <f>TEXT(Table1[[#This Row],[substitute date]],"dd-mmm-yyyy")</f>
        <v>15-Mar-2025</v>
      </c>
      <c r="D76" s="1" t="s">
        <v>46</v>
      </c>
      <c r="E76" s="1" t="str">
        <f>PROPER(TRIM(Table1[[#This Row],[Region1]]))</f>
        <v>South</v>
      </c>
      <c r="F7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76" s="1" t="s">
        <v>280</v>
      </c>
      <c r="H76" s="1" t="s">
        <v>154</v>
      </c>
      <c r="I76" s="1" t="s">
        <v>155</v>
      </c>
      <c r="J76" s="1" t="s">
        <v>155</v>
      </c>
      <c r="K76" s="1">
        <v>10</v>
      </c>
      <c r="L76" s="23">
        <v>175000</v>
      </c>
      <c r="M76" s="1" t="s">
        <v>281</v>
      </c>
      <c r="N76" s="5" t="str">
        <f>PROPER(TRIM(Table1[[#This Row],[M Sales Rep]]))</f>
        <v>Aisha Bello</v>
      </c>
      <c r="O76" s="19">
        <f>Table1[[#This Row],[UNIT SOLD]]*Table1[[#This Row],[UNIT PRICE]]</f>
        <v>1750000</v>
      </c>
      <c r="P76" s="5" t="s">
        <v>281</v>
      </c>
      <c r="Q76" s="5" t="s">
        <v>403</v>
      </c>
      <c r="R76" s="5" t="s">
        <v>282</v>
      </c>
    </row>
    <row r="77" spans="1:18" x14ac:dyDescent="0.25">
      <c r="A77" s="15">
        <v>45742</v>
      </c>
      <c r="B77" s="15" t="str">
        <f>SUBSTITUTE(Table1[[#This Row],[Inconsistent date]]," .","")</f>
        <v>45742</v>
      </c>
      <c r="C77" s="11" t="str">
        <f>TEXT(Table1[[#This Row],[substitute date]],"dd-mmm-yyyy")</f>
        <v>26-Mar-2025</v>
      </c>
      <c r="D77" s="1" t="s">
        <v>283</v>
      </c>
      <c r="E77" s="1" t="str">
        <f>PROPER(TRIM(Table1[[#This Row],[Region1]]))</f>
        <v>East</v>
      </c>
      <c r="F7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77" s="1" t="s">
        <v>174</v>
      </c>
      <c r="H77" s="1" t="s">
        <v>386</v>
      </c>
      <c r="I77" s="1" t="s">
        <v>284</v>
      </c>
      <c r="J77" s="1" t="s">
        <v>334</v>
      </c>
      <c r="K77" s="1">
        <v>5</v>
      </c>
      <c r="L77" s="23">
        <v>85000</v>
      </c>
      <c r="M77" s="1" t="s">
        <v>285</v>
      </c>
      <c r="N77" s="5" t="str">
        <f>PROPER(TRIM(Table1[[#This Row],[M Sales Rep]]))</f>
        <v>Grace Amos</v>
      </c>
      <c r="O77" s="19">
        <f>Table1[[#This Row],[UNIT SOLD]]*Table1[[#This Row],[UNIT PRICE]]</f>
        <v>425000</v>
      </c>
      <c r="P77" s="5" t="s">
        <v>285</v>
      </c>
      <c r="Q77" s="5" t="s">
        <v>400</v>
      </c>
      <c r="R77" s="5" t="s">
        <v>286</v>
      </c>
    </row>
    <row r="78" spans="1:18" x14ac:dyDescent="0.25">
      <c r="A78" s="15">
        <v>45669</v>
      </c>
      <c r="B78" s="15" t="str">
        <f>SUBSTITUTE(Table1[[#This Row],[Inconsistent date]]," .","")</f>
        <v>45669</v>
      </c>
      <c r="C78" s="11" t="str">
        <f>TEXT(Table1[[#This Row],[substitute date]],"dd-mmm-yyyy")</f>
        <v>12-Jan-2025</v>
      </c>
      <c r="D78" s="1" t="s">
        <v>287</v>
      </c>
      <c r="E78" s="1" t="str">
        <f>PROPER(TRIM(Table1[[#This Row],[Region1]]))</f>
        <v>North</v>
      </c>
      <c r="F7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78" s="1" t="s">
        <v>288</v>
      </c>
      <c r="H78" s="1" t="s">
        <v>238</v>
      </c>
      <c r="I78" s="1" t="s">
        <v>289</v>
      </c>
      <c r="J78" s="1" t="s">
        <v>6</v>
      </c>
      <c r="K78" s="1">
        <v>17</v>
      </c>
      <c r="L78" s="23">
        <v>350000</v>
      </c>
      <c r="M78" s="1" t="s">
        <v>151</v>
      </c>
      <c r="N78" s="5" t="str">
        <f>PROPER(TRIM(Table1[[#This Row],[M Sales Rep]]))</f>
        <v>Mary John</v>
      </c>
      <c r="O78" s="19">
        <f>Table1[[#This Row],[UNIT SOLD]]*Table1[[#This Row],[UNIT PRICE]]</f>
        <v>5950000</v>
      </c>
      <c r="P78" s="5" t="s">
        <v>186</v>
      </c>
      <c r="Q78" s="5" t="s">
        <v>401</v>
      </c>
      <c r="R78" s="5" t="s">
        <v>290</v>
      </c>
    </row>
    <row r="79" spans="1:18" x14ac:dyDescent="0.25">
      <c r="A79" s="15">
        <v>45680</v>
      </c>
      <c r="B79" s="15" t="str">
        <f>SUBSTITUTE(Table1[[#This Row],[Inconsistent date]]," .","")</f>
        <v>45680</v>
      </c>
      <c r="C79" s="11" t="str">
        <f>TEXT(Table1[[#This Row],[substitute date]],"dd-mmm-yyyy")</f>
        <v>23-Jan-2025</v>
      </c>
      <c r="D79" s="1" t="s">
        <v>291</v>
      </c>
      <c r="E79" s="1" t="str">
        <f>PROPER(TRIM(Table1[[#This Row],[Region1]]))</f>
        <v>Norht</v>
      </c>
      <c r="F7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79" s="1" t="s">
        <v>292</v>
      </c>
      <c r="H79" s="1" t="s">
        <v>238</v>
      </c>
      <c r="I79" s="1" t="s">
        <v>127</v>
      </c>
      <c r="J79" s="1" t="s">
        <v>6</v>
      </c>
      <c r="K79" s="1">
        <v>13</v>
      </c>
      <c r="L79" s="23">
        <v>350000</v>
      </c>
      <c r="M79" s="1" t="s">
        <v>293</v>
      </c>
      <c r="N79" s="5" t="str">
        <f>PROPER(TRIM(Table1[[#This Row],[M Sales Rep]]))</f>
        <v>Fola Balogun</v>
      </c>
      <c r="O79" s="19">
        <f>Table1[[#This Row],[UNIT SOLD]]*Table1[[#This Row],[UNIT PRICE]]</f>
        <v>4550000</v>
      </c>
      <c r="P79" s="5" t="s">
        <v>392</v>
      </c>
      <c r="Q79" s="5" t="s">
        <v>401</v>
      </c>
      <c r="R79" s="5" t="s">
        <v>294</v>
      </c>
    </row>
    <row r="80" spans="1:18" x14ac:dyDescent="0.25">
      <c r="A80" s="15">
        <v>45782</v>
      </c>
      <c r="B80" s="15" t="str">
        <f>SUBSTITUTE(Table1[[#This Row],[Inconsistent date]]," .","")</f>
        <v>45782</v>
      </c>
      <c r="C80" s="11" t="str">
        <f>TEXT(Table1[[#This Row],[substitute date]],"dd-mmm-yyyy")</f>
        <v>05-May-2025</v>
      </c>
      <c r="D80" s="1" t="s">
        <v>51</v>
      </c>
      <c r="E80" s="1" t="str">
        <f>PROPER(TRIM(Table1[[#This Row],[Region1]]))</f>
        <v>North</v>
      </c>
      <c r="F8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80" s="1" t="s">
        <v>295</v>
      </c>
      <c r="H80" s="1" t="s">
        <v>238</v>
      </c>
      <c r="I80" s="1" t="s">
        <v>296</v>
      </c>
      <c r="J80" s="1" t="s">
        <v>6</v>
      </c>
      <c r="K80" s="1">
        <v>8</v>
      </c>
      <c r="L80" s="23">
        <v>350000</v>
      </c>
      <c r="M80" s="1" t="s">
        <v>297</v>
      </c>
      <c r="N80" s="5" t="str">
        <f>PROPER(TRIM(Table1[[#This Row],[M Sales Rep]]))</f>
        <v>Ifeanyi Okafor</v>
      </c>
      <c r="O80" s="19">
        <f>Table1[[#This Row],[UNIT SOLD]]*Table1[[#This Row],[UNIT PRICE]]</f>
        <v>2800000</v>
      </c>
      <c r="P80" s="5" t="s">
        <v>15</v>
      </c>
      <c r="Q80" s="5" t="s">
        <v>405</v>
      </c>
      <c r="R80" s="5" t="s">
        <v>100</v>
      </c>
    </row>
    <row r="81" spans="1:18" x14ac:dyDescent="0.25">
      <c r="A81" s="15">
        <v>45796</v>
      </c>
      <c r="B81" s="15" t="str">
        <f>SUBSTITUTE(Table1[[#This Row],[Inconsistent date]]," .","")</f>
        <v>45796</v>
      </c>
      <c r="C81" s="11" t="str">
        <f>TEXT(Table1[[#This Row],[substitute date]],"dd-mmm-yyyy")</f>
        <v>19-May-2025</v>
      </c>
      <c r="D81" s="1" t="s">
        <v>298</v>
      </c>
      <c r="E81" s="1" t="str">
        <f>PROPER(TRIM(Table1[[#This Row],[Region1]]))</f>
        <v>South</v>
      </c>
      <c r="F8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81" s="1" t="s">
        <v>299</v>
      </c>
      <c r="H81" s="1" t="s">
        <v>386</v>
      </c>
      <c r="I81" s="1" t="s">
        <v>300</v>
      </c>
      <c r="J81" s="1" t="s">
        <v>334</v>
      </c>
      <c r="K81" s="1">
        <v>13</v>
      </c>
      <c r="L81" s="23">
        <v>85000</v>
      </c>
      <c r="M81" s="1" t="s">
        <v>301</v>
      </c>
      <c r="N81" s="5" t="str">
        <f>PROPER(TRIM(Table1[[#This Row],[M Sales Rep]]))</f>
        <v>Aisha Bello</v>
      </c>
      <c r="O81" s="19">
        <f>Table1[[#This Row],[UNIT SOLD]]*Table1[[#This Row],[UNIT PRICE]]</f>
        <v>1105000</v>
      </c>
      <c r="P81" s="5" t="s">
        <v>281</v>
      </c>
      <c r="Q81" s="5" t="s">
        <v>405</v>
      </c>
      <c r="R81" s="5" t="s">
        <v>100</v>
      </c>
    </row>
    <row r="82" spans="1:18" x14ac:dyDescent="0.25">
      <c r="A82" s="15" t="s">
        <v>374</v>
      </c>
      <c r="B82" s="15" t="str">
        <f>SUBSTITUTE(Table1[[#This Row],[Inconsistent date]]," .","")</f>
        <v>04A-pr-2025</v>
      </c>
      <c r="C82" s="11" t="str">
        <f>TEXT(Table1[[#This Row],[substitute date]],"dd-mmm-yyyy")</f>
        <v>04A-pr-2025</v>
      </c>
      <c r="D82" s="1" t="s">
        <v>302</v>
      </c>
      <c r="E82" s="1" t="str">
        <f>PROPER(TRIM(Table1[[#This Row],[Region1]]))</f>
        <v>East</v>
      </c>
      <c r="F8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82" s="1" t="s">
        <v>303</v>
      </c>
      <c r="H82" s="1" t="s">
        <v>78</v>
      </c>
      <c r="I82" s="1" t="s">
        <v>304</v>
      </c>
      <c r="J82" s="1" t="s">
        <v>220</v>
      </c>
      <c r="K82" s="1">
        <v>17</v>
      </c>
      <c r="L82" s="23">
        <v>150000</v>
      </c>
      <c r="M82" s="1" t="s">
        <v>305</v>
      </c>
      <c r="N82" s="5" t="str">
        <f>PROPER(TRIM(Table1[[#This Row],[M Sales Rep]]))</f>
        <v>Fola Balogun</v>
      </c>
      <c r="O82" s="19">
        <f>Table1[[#This Row],[UNIT SOLD]]*Table1[[#This Row],[UNIT PRICE]]</f>
        <v>2550000</v>
      </c>
      <c r="P82" s="5" t="s">
        <v>392</v>
      </c>
      <c r="Q82" s="5" t="s">
        <v>50</v>
      </c>
      <c r="R82" s="5" t="s">
        <v>306</v>
      </c>
    </row>
    <row r="83" spans="1:18" x14ac:dyDescent="0.25">
      <c r="A83" s="15">
        <v>45714</v>
      </c>
      <c r="B83" s="15" t="str">
        <f>SUBSTITUTE(Table1[[#This Row],[Inconsistent date]]," .","")</f>
        <v>45714</v>
      </c>
      <c r="C83" s="11" t="str">
        <f>TEXT(Table1[[#This Row],[substitute date]],"dd-mmm-yyyy")</f>
        <v>26-Feb-2025</v>
      </c>
      <c r="D83" s="1" t="s">
        <v>307</v>
      </c>
      <c r="E83" s="1" t="str">
        <f>PROPER(TRIM(Table1[[#This Row],[Region1]]))</f>
        <v>South</v>
      </c>
      <c r="F8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83" s="1" t="s">
        <v>308</v>
      </c>
      <c r="H83" s="1" t="s">
        <v>385</v>
      </c>
      <c r="I83" s="1" t="s">
        <v>309</v>
      </c>
      <c r="J83" s="1" t="s">
        <v>155</v>
      </c>
      <c r="K83" s="1">
        <v>19</v>
      </c>
      <c r="L83" s="23">
        <v>65000</v>
      </c>
      <c r="M83" s="1" t="s">
        <v>310</v>
      </c>
      <c r="N83" s="5" t="str">
        <f>PROPER(TRIM(Table1[[#This Row],[M Sales Rep]]))</f>
        <v>Grace Amos</v>
      </c>
      <c r="O83" s="19">
        <f>Table1[[#This Row],[UNIT SOLD]]*Table1[[#This Row],[UNIT PRICE]]</f>
        <v>1235000</v>
      </c>
      <c r="P83" s="5" t="s">
        <v>285</v>
      </c>
      <c r="Q83" s="5" t="s">
        <v>402</v>
      </c>
      <c r="R83" s="5" t="s">
        <v>311</v>
      </c>
    </row>
    <row r="84" spans="1:18" x14ac:dyDescent="0.25">
      <c r="A84" s="15">
        <v>45811</v>
      </c>
      <c r="B84" s="15" t="str">
        <f>SUBSTITUTE(Table1[[#This Row],[Inconsistent date]]," .","")</f>
        <v>45811</v>
      </c>
      <c r="C84" s="11" t="str">
        <f>TEXT(Table1[[#This Row],[substitute date]],"dd-mmm-yyyy")</f>
        <v>03-Jun-2025</v>
      </c>
      <c r="D84" s="1" t="s">
        <v>136</v>
      </c>
      <c r="E84" s="1" t="str">
        <f>PROPER(TRIM(Table1[[#This Row],[Region1]]))</f>
        <v>North</v>
      </c>
      <c r="F8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84" s="1" t="s">
        <v>42</v>
      </c>
      <c r="H84" s="1" t="s">
        <v>78</v>
      </c>
      <c r="I84" s="1" t="s">
        <v>23</v>
      </c>
      <c r="J84" s="1" t="s">
        <v>220</v>
      </c>
      <c r="K84" s="1">
        <v>1</v>
      </c>
      <c r="L84" s="23">
        <v>150000</v>
      </c>
      <c r="M84" s="1" t="s">
        <v>109</v>
      </c>
      <c r="N84" s="5" t="str">
        <f>PROPER(TRIM(Table1[[#This Row],[M Sales Rep]]))</f>
        <v>Grace Amos</v>
      </c>
      <c r="O84" s="19">
        <f>Table1[[#This Row],[UNIT SOLD]]*Table1[[#This Row],[UNIT PRICE]]</f>
        <v>150000</v>
      </c>
      <c r="P84" s="5" t="s">
        <v>285</v>
      </c>
      <c r="Q84" s="5" t="s">
        <v>400</v>
      </c>
      <c r="R84" s="5" t="s">
        <v>312</v>
      </c>
    </row>
    <row r="85" spans="1:18" x14ac:dyDescent="0.25">
      <c r="A85" s="15">
        <v>45752</v>
      </c>
      <c r="B85" s="15" t="str">
        <f>SUBSTITUTE(Table1[[#This Row],[Inconsistent date]]," .","")</f>
        <v>45752</v>
      </c>
      <c r="C85" s="11" t="str">
        <f>TEXT(Table1[[#This Row],[substitute date]],"dd-mmm-yyyy")</f>
        <v>05-Apr-2025</v>
      </c>
      <c r="D85" s="1" t="s">
        <v>231</v>
      </c>
      <c r="E85" s="1" t="str">
        <f>PROPER(TRIM(Table1[[#This Row],[Region1]]))</f>
        <v>East</v>
      </c>
      <c r="F8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85" s="1" t="s">
        <v>227</v>
      </c>
      <c r="H85" s="1" t="s">
        <v>170</v>
      </c>
      <c r="I85" s="1" t="s">
        <v>313</v>
      </c>
      <c r="J85" s="1" t="s">
        <v>389</v>
      </c>
      <c r="K85" s="1">
        <v>13</v>
      </c>
      <c r="L85" s="23">
        <v>250000</v>
      </c>
      <c r="M85" s="1" t="s">
        <v>314</v>
      </c>
      <c r="N85" s="5" t="str">
        <f>PROPER(TRIM(Table1[[#This Row],[M Sales Rep]]))</f>
        <v>Chinedu Nwosu</v>
      </c>
      <c r="O85" s="19">
        <f>Table1[[#This Row],[UNIT SOLD]]*Table1[[#This Row],[UNIT PRICE]]</f>
        <v>3250000</v>
      </c>
      <c r="P85" s="5" t="s">
        <v>394</v>
      </c>
      <c r="Q85" s="5" t="s">
        <v>405</v>
      </c>
      <c r="R85" s="5" t="s">
        <v>222</v>
      </c>
    </row>
    <row r="86" spans="1:18" x14ac:dyDescent="0.25">
      <c r="A86" s="15">
        <v>45687</v>
      </c>
      <c r="B86" s="15" t="str">
        <f>SUBSTITUTE(Table1[[#This Row],[Inconsistent date]]," .","")</f>
        <v>45687</v>
      </c>
      <c r="C86" s="11" t="str">
        <f>TEXT(Table1[[#This Row],[substitute date]],"dd-mmm-yyyy")</f>
        <v>30-Jan-2025</v>
      </c>
      <c r="D86" s="1" t="s">
        <v>173</v>
      </c>
      <c r="E86" s="1" t="str">
        <f>PROPER(TRIM(Table1[[#This Row],[Region1]]))</f>
        <v>East</v>
      </c>
      <c r="F8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86" s="1" t="s">
        <v>315</v>
      </c>
      <c r="H86" s="1" t="s">
        <v>385</v>
      </c>
      <c r="I86" s="1" t="s">
        <v>316</v>
      </c>
      <c r="J86" s="1" t="s">
        <v>155</v>
      </c>
      <c r="K86" s="1">
        <v>18</v>
      </c>
      <c r="L86" s="23">
        <v>65000</v>
      </c>
      <c r="M86" s="1" t="s">
        <v>240</v>
      </c>
      <c r="N86" s="5" t="str">
        <f>PROPER(TRIM(Table1[[#This Row],[M Sales Rep]]))</f>
        <v>Chinedu Nwosu</v>
      </c>
      <c r="O86" s="19">
        <f>Table1[[#This Row],[UNIT SOLD]]*Table1[[#This Row],[UNIT PRICE]]</f>
        <v>1170000</v>
      </c>
      <c r="P86" s="5" t="s">
        <v>394</v>
      </c>
      <c r="Q86" s="5" t="s">
        <v>166</v>
      </c>
      <c r="R86" s="5" t="s">
        <v>166</v>
      </c>
    </row>
    <row r="87" spans="1:18" x14ac:dyDescent="0.25">
      <c r="A87" s="15">
        <v>45688</v>
      </c>
      <c r="B87" s="15" t="str">
        <f>SUBSTITUTE(Table1[[#This Row],[Inconsistent date]]," .","")</f>
        <v>45688</v>
      </c>
      <c r="C87" s="11" t="str">
        <f>TEXT(Table1[[#This Row],[substitute date]],"dd-mmm-yyyy")</f>
        <v>31-Jan-2025</v>
      </c>
      <c r="D87" s="1" t="s">
        <v>317</v>
      </c>
      <c r="E87" s="1" t="str">
        <f>PROPER(TRIM(Table1[[#This Row],[Region1]]))</f>
        <v>North</v>
      </c>
      <c r="F8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87" s="1" t="s">
        <v>318</v>
      </c>
      <c r="H87" s="1" t="s">
        <v>170</v>
      </c>
      <c r="I87" s="1" t="s">
        <v>319</v>
      </c>
      <c r="J87" s="1" t="s">
        <v>389</v>
      </c>
      <c r="K87" s="1">
        <v>20</v>
      </c>
      <c r="L87" s="23">
        <v>250000</v>
      </c>
      <c r="M87" s="1" t="s">
        <v>320</v>
      </c>
      <c r="N87" s="5" t="str">
        <f>PROPER(TRIM(Table1[[#This Row],[M Sales Rep]]))</f>
        <v>Aisha Bello</v>
      </c>
      <c r="O87" s="19">
        <f>Table1[[#This Row],[UNIT SOLD]]*Table1[[#This Row],[UNIT PRICE]]</f>
        <v>5000000</v>
      </c>
      <c r="P87" s="5" t="s">
        <v>281</v>
      </c>
      <c r="Q87" s="5" t="s">
        <v>406</v>
      </c>
      <c r="R87" s="5" t="s">
        <v>321</v>
      </c>
    </row>
    <row r="88" spans="1:18" x14ac:dyDescent="0.25">
      <c r="A88" s="15" t="s">
        <v>375</v>
      </c>
      <c r="B88" s="15" t="str">
        <f>SUBSTITUTE(Table1[[#This Row],[Inconsistent date]]," .","")</f>
        <v>27-MAY-0225</v>
      </c>
      <c r="C88" s="11" t="str">
        <f>TEXT(Table1[[#This Row],[substitute date]],"dd-mmm-yyyy")</f>
        <v>27-MAY-0225</v>
      </c>
      <c r="D88" s="1" t="s">
        <v>73</v>
      </c>
      <c r="E88" s="1" t="str">
        <f>PROPER(TRIM(Table1[[#This Row],[Region1]]))</f>
        <v>East</v>
      </c>
      <c r="F8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88" s="1" t="s">
        <v>216</v>
      </c>
      <c r="H88" s="1" t="s">
        <v>9</v>
      </c>
      <c r="I88" s="1" t="s">
        <v>10</v>
      </c>
      <c r="J88" s="1" t="s">
        <v>220</v>
      </c>
      <c r="K88" s="1">
        <v>4</v>
      </c>
      <c r="L88" s="23">
        <v>180000</v>
      </c>
      <c r="M88" s="1" t="s">
        <v>322</v>
      </c>
      <c r="N88" s="5" t="str">
        <f>PROPER(TRIM(Table1[[#This Row],[M Sales Rep]]))</f>
        <v>Aisha Bello</v>
      </c>
      <c r="O88" s="19">
        <f>Table1[[#This Row],[UNIT SOLD]]*Table1[[#This Row],[UNIT PRICE]]</f>
        <v>720000</v>
      </c>
      <c r="P88" s="5" t="s">
        <v>281</v>
      </c>
      <c r="Q88" s="5" t="s">
        <v>50</v>
      </c>
      <c r="R88" s="5" t="s">
        <v>25</v>
      </c>
    </row>
    <row r="89" spans="1:18" x14ac:dyDescent="0.25">
      <c r="A89" s="15" t="s">
        <v>323</v>
      </c>
      <c r="B89" s="15" t="str">
        <f>SUBSTITUTE(Table1[[#This Row],[Inconsistent date]]," .","")</f>
        <v>08-pAr-2025</v>
      </c>
      <c r="C89" s="11" t="str">
        <f>TEXT(Table1[[#This Row],[substitute date]],"dd-mmm-yyyy")</f>
        <v>08-pAr-2025</v>
      </c>
      <c r="D89" s="1" t="s">
        <v>307</v>
      </c>
      <c r="E89" s="1" t="str">
        <f>PROPER(TRIM(Table1[[#This Row],[Region1]]))</f>
        <v>South</v>
      </c>
      <c r="F8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89" s="1" t="s">
        <v>42</v>
      </c>
      <c r="H89" s="1" t="s">
        <v>78</v>
      </c>
      <c r="I89" s="1" t="s">
        <v>23</v>
      </c>
      <c r="J89" s="1" t="s">
        <v>220</v>
      </c>
      <c r="K89" s="1">
        <v>5</v>
      </c>
      <c r="L89" s="23">
        <v>150000</v>
      </c>
      <c r="M89" s="1" t="s">
        <v>274</v>
      </c>
      <c r="N89" s="5" t="str">
        <f>PROPER(TRIM(Table1[[#This Row],[M Sales Rep]]))</f>
        <v>Chinedu Nwosu</v>
      </c>
      <c r="O89" s="19">
        <f>Table1[[#This Row],[UNIT SOLD]]*Table1[[#This Row],[UNIT PRICE]]</f>
        <v>750000</v>
      </c>
      <c r="P89" s="5" t="s">
        <v>394</v>
      </c>
      <c r="Q89" s="5" t="s">
        <v>367</v>
      </c>
      <c r="R89" s="5" t="s">
        <v>324</v>
      </c>
    </row>
    <row r="90" spans="1:18" x14ac:dyDescent="0.25">
      <c r="A90" s="15">
        <v>45701</v>
      </c>
      <c r="B90" s="15" t="str">
        <f>SUBSTITUTE(Table1[[#This Row],[Inconsistent date]]," .","")</f>
        <v>45701</v>
      </c>
      <c r="C90" s="11" t="str">
        <f>TEXT(Table1[[#This Row],[substitute date]],"dd-mmm-yyyy")</f>
        <v>13-Feb-2025</v>
      </c>
      <c r="D90" s="1" t="s">
        <v>41</v>
      </c>
      <c r="E90" s="1" t="str">
        <f>PROPER(TRIM(Table1[[#This Row],[Region1]]))</f>
        <v>West</v>
      </c>
      <c r="F9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90" s="1" t="s">
        <v>325</v>
      </c>
      <c r="H90" s="1" t="s">
        <v>170</v>
      </c>
      <c r="I90" s="1" t="s">
        <v>313</v>
      </c>
      <c r="J90" s="1" t="s">
        <v>389</v>
      </c>
      <c r="K90" s="1">
        <v>11</v>
      </c>
      <c r="L90" s="23">
        <v>2500000</v>
      </c>
      <c r="M90" s="1" t="s">
        <v>11</v>
      </c>
      <c r="N90" s="5" t="str">
        <f>PROPER(TRIM(Table1[[#This Row],[M Sales Rep]]))</f>
        <v>Fola Balogun</v>
      </c>
      <c r="O90" s="19">
        <f>Table1[[#This Row],[UNIT SOLD]]*Table1[[#This Row],[UNIT PRICE]]</f>
        <v>27500000</v>
      </c>
      <c r="P90" s="5" t="s">
        <v>392</v>
      </c>
      <c r="Q90" s="5" t="s">
        <v>406</v>
      </c>
      <c r="R90" s="5" t="s">
        <v>326</v>
      </c>
    </row>
    <row r="91" spans="1:18" x14ac:dyDescent="0.25">
      <c r="A91" s="15" t="s">
        <v>327</v>
      </c>
      <c r="B91" s="15" t="str">
        <f>SUBSTITUTE(Table1[[#This Row],[Inconsistent date]]," .","")</f>
        <v>09-aMr-2025</v>
      </c>
      <c r="C91" s="11" t="str">
        <f>TEXT(Table1[[#This Row],[substitute date]],"dd-mmm-yyyy")</f>
        <v>09-aMr-2025</v>
      </c>
      <c r="D91" s="1" t="s">
        <v>73</v>
      </c>
      <c r="E91" s="1" t="str">
        <f>PROPER(TRIM(Table1[[#This Row],[Region1]]))</f>
        <v>East</v>
      </c>
      <c r="F91"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91" s="1" t="s">
        <v>328</v>
      </c>
      <c r="H91" s="1" t="s">
        <v>170</v>
      </c>
      <c r="I91" s="1" t="s">
        <v>329</v>
      </c>
      <c r="J91" s="1" t="s">
        <v>389</v>
      </c>
      <c r="K91" s="1">
        <v>20</v>
      </c>
      <c r="L91" s="23">
        <v>250000</v>
      </c>
      <c r="M91" s="1" t="s">
        <v>330</v>
      </c>
      <c r="N91" s="5" t="str">
        <f>PROPER(TRIM(Table1[[#This Row],[M Sales Rep]]))</f>
        <v xml:space="preserve">Ifeanyi O Kafor 	</v>
      </c>
      <c r="O91" s="19">
        <f>Table1[[#This Row],[UNIT SOLD]]*Table1[[#This Row],[UNIT PRICE]]</f>
        <v>5000000</v>
      </c>
      <c r="P91" s="5" t="s">
        <v>15</v>
      </c>
      <c r="Q91" s="5" t="s">
        <v>402</v>
      </c>
      <c r="R91" s="5" t="s">
        <v>331</v>
      </c>
    </row>
    <row r="92" spans="1:18" x14ac:dyDescent="0.25">
      <c r="A92" s="15">
        <v>55569</v>
      </c>
      <c r="B92" s="15" t="str">
        <f>SUBSTITUTE(Table1[[#This Row],[Inconsistent date]]," .","")</f>
        <v>55569</v>
      </c>
      <c r="C92" s="11" t="str">
        <f>TEXT(Table1[[#This Row],[substitute date]],"dd-mmm-yyyy")</f>
        <v>20-Feb-2052</v>
      </c>
      <c r="D92" s="1" t="s">
        <v>332</v>
      </c>
      <c r="E92" s="1" t="str">
        <f>PROPER(TRIM(Table1[[#This Row],[Region1]]))</f>
        <v>West</v>
      </c>
      <c r="F92"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92" s="1" t="s">
        <v>333</v>
      </c>
      <c r="H92" s="1" t="s">
        <v>386</v>
      </c>
      <c r="I92" s="1" t="s">
        <v>334</v>
      </c>
      <c r="J92" s="1" t="s">
        <v>334</v>
      </c>
      <c r="K92" s="1">
        <v>7</v>
      </c>
      <c r="L92" s="23">
        <v>89233</v>
      </c>
      <c r="M92" s="1" t="s">
        <v>335</v>
      </c>
      <c r="N92" s="5" t="str">
        <f>PROPER(TRIM(Table1[[#This Row],[M Sales Rep]]))</f>
        <v>Fola Balogun,</v>
      </c>
      <c r="O92" s="19">
        <f>Table1[[#This Row],[UNIT SOLD]]*Table1[[#This Row],[UNIT PRICE]]</f>
        <v>624631</v>
      </c>
      <c r="P92" s="5" t="s">
        <v>392</v>
      </c>
      <c r="Q92" s="5" t="s">
        <v>402</v>
      </c>
      <c r="R92" s="5" t="s">
        <v>336</v>
      </c>
    </row>
    <row r="93" spans="1:18" x14ac:dyDescent="0.25">
      <c r="A93" s="15">
        <v>45707</v>
      </c>
      <c r="B93" s="15" t="str">
        <f>SUBSTITUTE(Table1[[#This Row],[Inconsistent date]]," .","")</f>
        <v>45707</v>
      </c>
      <c r="C93" s="11" t="str">
        <f>TEXT(Table1[[#This Row],[substitute date]],"dd-mmm-yyyy")</f>
        <v>19-Feb-2025</v>
      </c>
      <c r="D93" s="1" t="s">
        <v>337</v>
      </c>
      <c r="E93" s="1" t="str">
        <f>PROPER(TRIM(Table1[[#This Row],[Region1]]))</f>
        <v>East ,</v>
      </c>
      <c r="F93"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93" s="1" t="s">
        <v>338</v>
      </c>
      <c r="H93" s="1" t="s">
        <v>170</v>
      </c>
      <c r="I93" s="1" t="s">
        <v>339</v>
      </c>
      <c r="J93" s="1" t="s">
        <v>389</v>
      </c>
      <c r="K93" s="1">
        <v>5</v>
      </c>
      <c r="L93" s="23">
        <v>250000</v>
      </c>
      <c r="M93" s="1" t="s">
        <v>340</v>
      </c>
      <c r="N93" s="5" t="str">
        <f>PROPER(TRIM(Table1[[#This Row],[M Sales Rep]]))</f>
        <v>Mary John</v>
      </c>
      <c r="O93" s="19">
        <f>Table1[[#This Row],[UNIT SOLD]]*Table1[[#This Row],[UNIT PRICE]]</f>
        <v>1250000</v>
      </c>
      <c r="P93" s="5" t="s">
        <v>186</v>
      </c>
      <c r="Q93" s="5" t="s">
        <v>166</v>
      </c>
      <c r="R93" s="5" t="s">
        <v>341</v>
      </c>
    </row>
    <row r="94" spans="1:18" x14ac:dyDescent="0.25">
      <c r="A94" s="15">
        <v>45757</v>
      </c>
      <c r="B94" s="15" t="str">
        <f>SUBSTITUTE(Table1[[#This Row],[Inconsistent date]]," .","")</f>
        <v>45757</v>
      </c>
      <c r="C94" s="11" t="str">
        <f>TEXT(Table1[[#This Row],[substitute date]],"dd-mmm-yyyy")</f>
        <v>10-Apr-2025</v>
      </c>
      <c r="D94" s="1" t="s">
        <v>342</v>
      </c>
      <c r="E94" s="1" t="str">
        <f>PROPER(TRIM(Table1[[#This Row],[Region1]]))</f>
        <v>East</v>
      </c>
      <c r="F94"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94" s="1" t="s">
        <v>343</v>
      </c>
      <c r="H94" s="1" t="s">
        <v>154</v>
      </c>
      <c r="I94" s="1" t="s">
        <v>155</v>
      </c>
      <c r="J94" s="1" t="s">
        <v>155</v>
      </c>
      <c r="K94" s="1">
        <v>19</v>
      </c>
      <c r="L94" s="23">
        <v>175000</v>
      </c>
      <c r="M94" s="1" t="s">
        <v>344</v>
      </c>
      <c r="N94" s="5" t="str">
        <f>PROPER(TRIM(Table1[[#This Row],[M Sales Rep]]))</f>
        <v>Mary John</v>
      </c>
      <c r="O94" s="19">
        <f>Table1[[#This Row],[UNIT SOLD]]*Table1[[#This Row],[UNIT PRICE]]</f>
        <v>3325000</v>
      </c>
      <c r="P94" s="5" t="s">
        <v>186</v>
      </c>
      <c r="Q94" s="5" t="s">
        <v>404</v>
      </c>
      <c r="R94" s="5" t="s">
        <v>345</v>
      </c>
    </row>
    <row r="95" spans="1:18" x14ac:dyDescent="0.25">
      <c r="A95" s="15">
        <v>45798</v>
      </c>
      <c r="B95" s="15" t="str">
        <f>SUBSTITUTE(Table1[[#This Row],[Inconsistent date]]," .","")</f>
        <v>45798</v>
      </c>
      <c r="C95" s="11" t="str">
        <f>TEXT(Table1[[#This Row],[substitute date]],"dd-mmm-yyyy")</f>
        <v>21-May-2025</v>
      </c>
      <c r="D95" s="1" t="s">
        <v>231</v>
      </c>
      <c r="E95" s="1" t="str">
        <f>PROPER(TRIM(Table1[[#This Row],[Region1]]))</f>
        <v>East</v>
      </c>
      <c r="F95"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95" s="1" t="s">
        <v>124</v>
      </c>
      <c r="H95" s="1" t="s">
        <v>238</v>
      </c>
      <c r="I95" s="1" t="s">
        <v>127</v>
      </c>
      <c r="J95" s="1" t="s">
        <v>6</v>
      </c>
      <c r="K95" s="1">
        <v>14</v>
      </c>
      <c r="L95" s="23">
        <v>350000</v>
      </c>
      <c r="M95" s="1" t="s">
        <v>346</v>
      </c>
      <c r="N95" s="5" t="str">
        <f>PROPER(TRIM(Table1[[#This Row],[M Sales Rep]]))</f>
        <v>Grace Amos</v>
      </c>
      <c r="O95" s="19">
        <f>Table1[[#This Row],[UNIT SOLD]]*Table1[[#This Row],[UNIT PRICE]]</f>
        <v>4900000</v>
      </c>
      <c r="P95" s="5" t="s">
        <v>285</v>
      </c>
      <c r="Q95" s="5" t="s">
        <v>50</v>
      </c>
      <c r="R95" s="5" t="s">
        <v>347</v>
      </c>
    </row>
    <row r="96" spans="1:18" x14ac:dyDescent="0.25">
      <c r="A96" s="15">
        <v>45834</v>
      </c>
      <c r="B96" s="15" t="str">
        <f>SUBSTITUTE(Table1[[#This Row],[Inconsistent date]]," .","")</f>
        <v>45834</v>
      </c>
      <c r="C96" s="11" t="str">
        <f>TEXT(Table1[[#This Row],[substitute date]],"dd-mmm-yyyy")</f>
        <v>26-Jun-2025</v>
      </c>
      <c r="D96" s="1" t="s">
        <v>231</v>
      </c>
      <c r="E96" s="1" t="str">
        <f>PROPER(TRIM(Table1[[#This Row],[Region1]]))</f>
        <v>East</v>
      </c>
      <c r="F96"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East</v>
      </c>
      <c r="G96" s="1" t="s">
        <v>348</v>
      </c>
      <c r="H96" s="1" t="s">
        <v>154</v>
      </c>
      <c r="I96" s="1" t="s">
        <v>349</v>
      </c>
      <c r="J96" s="1" t="s">
        <v>155</v>
      </c>
      <c r="K96" s="1">
        <v>20</v>
      </c>
      <c r="L96" s="23">
        <v>175000</v>
      </c>
      <c r="M96" s="1" t="s">
        <v>350</v>
      </c>
      <c r="N96" s="5" t="str">
        <f>PROPER(TRIM(Table1[[#This Row],[M Sales Rep]]))</f>
        <v>Mary John .</v>
      </c>
      <c r="O96" s="19">
        <f>Table1[[#This Row],[UNIT SOLD]]*Table1[[#This Row],[UNIT PRICE]]</f>
        <v>3500000</v>
      </c>
      <c r="P96" s="5" t="s">
        <v>186</v>
      </c>
      <c r="Q96" s="5" t="s">
        <v>67</v>
      </c>
      <c r="R96" s="5" t="s">
        <v>351</v>
      </c>
    </row>
    <row r="97" spans="1:18" x14ac:dyDescent="0.25">
      <c r="A97" s="15">
        <v>45708</v>
      </c>
      <c r="B97" s="15" t="str">
        <f>SUBSTITUTE(Table1[[#This Row],[Inconsistent date]]," .","")</f>
        <v>45708</v>
      </c>
      <c r="C97" s="11" t="str">
        <f>TEXT(Table1[[#This Row],[substitute date]],"dd-mmm-yyyy")</f>
        <v>20-Feb-2025</v>
      </c>
      <c r="D97" s="1" t="s">
        <v>352</v>
      </c>
      <c r="E97" s="1" t="str">
        <f>PROPER(TRIM(Table1[[#This Row],[Region1]]))</f>
        <v>South</v>
      </c>
      <c r="F97"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97" s="1" t="s">
        <v>299</v>
      </c>
      <c r="H97" s="1" t="s">
        <v>386</v>
      </c>
      <c r="I97" s="1" t="s">
        <v>353</v>
      </c>
      <c r="J97" s="1" t="s">
        <v>334</v>
      </c>
      <c r="K97" s="1">
        <v>18</v>
      </c>
      <c r="L97" s="23">
        <v>85000</v>
      </c>
      <c r="M97" s="1" t="s">
        <v>354</v>
      </c>
      <c r="N97" s="5" t="str">
        <f>PROPER(TRIM(Table1[[#This Row],[M Sales Rep]]))</f>
        <v>Peter Obi</v>
      </c>
      <c r="O97" s="19">
        <f>Table1[[#This Row],[UNIT SOLD]]*Table1[[#This Row],[UNIT PRICE]]</f>
        <v>1530000</v>
      </c>
      <c r="P97" s="5" t="s">
        <v>396</v>
      </c>
      <c r="Q97" s="5" t="s">
        <v>407</v>
      </c>
      <c r="R97" s="5" t="s">
        <v>355</v>
      </c>
    </row>
    <row r="98" spans="1:18" x14ac:dyDescent="0.25">
      <c r="A98" s="15" t="s">
        <v>376</v>
      </c>
      <c r="B98" s="15" t="str">
        <f>SUBSTITUTE(Table1[[#This Row],[Inconsistent date]]," .","")</f>
        <v>27-Ju-n2025</v>
      </c>
      <c r="C98" s="11" t="str">
        <f>TEXT(Table1[[#This Row],[substitute date]],"dd-mmm-yyyy")</f>
        <v>27-Ju-n2025</v>
      </c>
      <c r="D98" s="1" t="s">
        <v>356</v>
      </c>
      <c r="E98" s="1" t="str">
        <f>PROPER(TRIM(Table1[[#This Row],[Region1]]))</f>
        <v xml:space="preserve">North	</v>
      </c>
      <c r="F98"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North</v>
      </c>
      <c r="G98" s="1" t="s">
        <v>357</v>
      </c>
      <c r="H98" s="1" t="s">
        <v>154</v>
      </c>
      <c r="I98" s="1" t="s">
        <v>358</v>
      </c>
      <c r="J98" s="1" t="s">
        <v>155</v>
      </c>
      <c r="K98" s="1">
        <v>17</v>
      </c>
      <c r="L98" s="23">
        <v>175000</v>
      </c>
      <c r="M98" s="1" t="s">
        <v>359</v>
      </c>
      <c r="N98" s="5" t="str">
        <f>PROPER(TRIM(Table1[[#This Row],[M Sales Rep]]))</f>
        <v>Ifeanyi Okafor</v>
      </c>
      <c r="O98" s="19">
        <f>Table1[[#This Row],[UNIT SOLD]]*Table1[[#This Row],[UNIT PRICE]]</f>
        <v>2975000</v>
      </c>
      <c r="P98" s="5" t="s">
        <v>15</v>
      </c>
      <c r="Q98" s="5" t="s">
        <v>401</v>
      </c>
      <c r="R98" s="5" t="s">
        <v>360</v>
      </c>
    </row>
    <row r="99" spans="1:18" x14ac:dyDescent="0.25">
      <c r="A99" s="15">
        <v>45693</v>
      </c>
      <c r="B99" s="15" t="str">
        <f>SUBSTITUTE(Table1[[#This Row],[Inconsistent date]]," .","")</f>
        <v>45693</v>
      </c>
      <c r="C99" s="11" t="str">
        <f>TEXT(Table1[[#This Row],[substitute date]],"dd-mmm-yyyy")</f>
        <v>05-Feb-2025</v>
      </c>
      <c r="D99" s="1" t="s">
        <v>0</v>
      </c>
      <c r="E99" s="1" t="str">
        <f>PROPER(TRIM(Table1[[#This Row],[Region1]]))</f>
        <v>South</v>
      </c>
      <c r="F99"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99" s="1" t="s">
        <v>170</v>
      </c>
      <c r="H99" s="1" t="s">
        <v>170</v>
      </c>
      <c r="I99" s="1" t="s">
        <v>313</v>
      </c>
      <c r="J99" s="1" t="s">
        <v>389</v>
      </c>
      <c r="K99" s="1">
        <v>20</v>
      </c>
      <c r="L99" s="23">
        <v>250000</v>
      </c>
      <c r="M99" s="1" t="s">
        <v>250</v>
      </c>
      <c r="N99" s="5" t="str">
        <f>PROPER(TRIM(Table1[[#This Row],[M Sales Rep]]))</f>
        <v>Fola Balogun</v>
      </c>
      <c r="O99" s="19">
        <f>Table1[[#This Row],[UNIT SOLD]]*Table1[[#This Row],[UNIT PRICE]]</f>
        <v>5000000</v>
      </c>
      <c r="P99" s="5" t="s">
        <v>392</v>
      </c>
      <c r="Q99" s="5" t="s">
        <v>50</v>
      </c>
      <c r="R99" s="5" t="s">
        <v>8</v>
      </c>
    </row>
    <row r="100" spans="1:18" x14ac:dyDescent="0.25">
      <c r="A100" s="15">
        <v>45815</v>
      </c>
      <c r="B100" s="15" t="str">
        <f>SUBSTITUTE(Table1[[#This Row],[Inconsistent date]]," .","")</f>
        <v>45815</v>
      </c>
      <c r="C100" s="11" t="str">
        <f>TEXT(Table1[[#This Row],[substitute date]],"dd-mmm-yyyy")</f>
        <v>07-Jun-2025</v>
      </c>
      <c r="D100" s="1" t="s">
        <v>167</v>
      </c>
      <c r="E100" s="1" t="str">
        <f>PROPER(TRIM(Table1[[#This Row],[Region1]]))</f>
        <v>South</v>
      </c>
      <c r="F100" s="1"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South</v>
      </c>
      <c r="G100" s="1" t="s">
        <v>238</v>
      </c>
      <c r="H100" s="1" t="s">
        <v>238</v>
      </c>
      <c r="I100" s="1" t="s">
        <v>127</v>
      </c>
      <c r="J100" s="1" t="s">
        <v>6</v>
      </c>
      <c r="K100" s="1">
        <v>20</v>
      </c>
      <c r="L100" s="23">
        <v>350000</v>
      </c>
      <c r="M100" s="1" t="s">
        <v>361</v>
      </c>
      <c r="N100" s="5" t="str">
        <f>PROPER(TRIM(Table1[[#This Row],[M Sales Rep]]))</f>
        <v>Peter Obi</v>
      </c>
      <c r="O100" s="19">
        <f>Table1[[#This Row],[UNIT SOLD]]*Table1[[#This Row],[UNIT PRICE]]</f>
        <v>7000000</v>
      </c>
      <c r="P100" s="5" t="s">
        <v>396</v>
      </c>
      <c r="Q100" s="5" t="s">
        <v>402</v>
      </c>
      <c r="R100" s="5" t="s">
        <v>362</v>
      </c>
    </row>
    <row r="101" spans="1:18" x14ac:dyDescent="0.25">
      <c r="A101" s="16">
        <v>45790</v>
      </c>
      <c r="B101" s="16" t="str">
        <f>SUBSTITUTE(Table1[[#This Row],[Inconsistent date]]," .","")</f>
        <v>45790</v>
      </c>
      <c r="C101" s="12" t="str">
        <f>TEXT(Table1[[#This Row],[substitute date]],"dd-mmm-yyyy")</f>
        <v>13-May-2025</v>
      </c>
      <c r="D101" s="8" t="s">
        <v>363</v>
      </c>
      <c r="E101" s="8" t="str">
        <f>PROPER(TRIM(Table1[[#This Row],[Region1]]))</f>
        <v>West</v>
      </c>
      <c r="F101" s="8" t="str">
        <f>_xlfn.IFNA(_xlfn.IFS(Table1[[#This Row],[region 2]]="east","East",Table1[[#This Row],[region 2]]="east ,","East",Table1[[#This Row],[region 2]]="east,","East",Table1[[#This Row],[region 2]]="eats","East",Table1[[#This Row],[region 2]]="north,","North",Table1[[#This Row],[region 2]]="north.","North",Table1[[#This Row],[region 2]]="north","North",Table1[[#This Row],[region 2]]="norht","North",Table1[[#This Row],[region 2]]="soutH","South",Table1[[#This Row],[region 2]]="south","South",Table1[[#This Row],[region 2]]="south,","South",Table1[[#This Row],[region 2]]="wesT","West",Table1[[#This Row],[region 2]]="west,","West",Table1[[#This Row],[region 2]]="west.","West"),"North")</f>
        <v>West</v>
      </c>
      <c r="G101" s="8" t="s">
        <v>364</v>
      </c>
      <c r="H101" s="1" t="s">
        <v>78</v>
      </c>
      <c r="I101" s="8" t="s">
        <v>365</v>
      </c>
      <c r="J101" s="1" t="s">
        <v>220</v>
      </c>
      <c r="K101" s="8">
        <v>18</v>
      </c>
      <c r="L101" s="24">
        <v>150000</v>
      </c>
      <c r="M101" s="8" t="s">
        <v>366</v>
      </c>
      <c r="N101" s="9" t="str">
        <f>PROPER(TRIM(Table1[[#This Row],[M Sales Rep]]))</f>
        <v xml:space="preserve">Grace Amos	</v>
      </c>
      <c r="O101" s="20">
        <f>Table1[[#This Row],[UNIT SOLD]]*Table1[[#This Row],[UNIT PRICE]]</f>
        <v>2700000</v>
      </c>
      <c r="P101" s="5" t="s">
        <v>285</v>
      </c>
      <c r="Q101" s="5" t="s">
        <v>367</v>
      </c>
      <c r="R101" s="9" t="s">
        <v>367</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ECEAC-82C2-4269-B7C5-5D607741FAF1}">
  <dimension ref="A3:H42"/>
  <sheetViews>
    <sheetView topLeftCell="A2" workbookViewId="0">
      <selection activeCell="F5" sqref="F5"/>
    </sheetView>
  </sheetViews>
  <sheetFormatPr defaultRowHeight="15" x14ac:dyDescent="0.25"/>
  <cols>
    <col min="1" max="1" width="14.5703125" bestFit="1" customWidth="1"/>
    <col min="2" max="2" width="22.28515625" bestFit="1" customWidth="1"/>
    <col min="3" max="3" width="38.42578125" bestFit="1" customWidth="1"/>
    <col min="4" max="4" width="22.28515625" bestFit="1" customWidth="1"/>
    <col min="5" max="5" width="17.28515625" bestFit="1" customWidth="1"/>
    <col min="6" max="6" width="22.28515625" bestFit="1" customWidth="1"/>
    <col min="7" max="7" width="17.28515625" bestFit="1" customWidth="1"/>
  </cols>
  <sheetData>
    <row r="3" spans="1:8" x14ac:dyDescent="0.25">
      <c r="A3" t="s">
        <v>413</v>
      </c>
      <c r="B3" t="s">
        <v>414</v>
      </c>
      <c r="C3" t="s">
        <v>415</v>
      </c>
      <c r="D3" t="s">
        <v>416</v>
      </c>
      <c r="E3" t="s">
        <v>420</v>
      </c>
    </row>
    <row r="4" spans="1:8" x14ac:dyDescent="0.25">
      <c r="A4" s="26">
        <v>302680445</v>
      </c>
      <c r="B4" s="26">
        <v>50000000</v>
      </c>
      <c r="C4" s="26">
        <v>59500</v>
      </c>
      <c r="D4" s="26">
        <v>3026804.45</v>
      </c>
      <c r="E4" s="26">
        <v>1141</v>
      </c>
    </row>
    <row r="5" spans="1:8" x14ac:dyDescent="0.25">
      <c r="A5" s="26"/>
      <c r="B5" s="26"/>
      <c r="C5" s="26"/>
      <c r="D5" s="26"/>
    </row>
    <row r="6" spans="1:8" x14ac:dyDescent="0.25">
      <c r="A6" s="28" t="s">
        <v>419</v>
      </c>
      <c r="D6" s="28" t="s">
        <v>421</v>
      </c>
    </row>
    <row r="7" spans="1:8" x14ac:dyDescent="0.25">
      <c r="A7" s="25" t="s">
        <v>417</v>
      </c>
      <c r="B7" t="s">
        <v>413</v>
      </c>
      <c r="D7" s="25" t="s">
        <v>417</v>
      </c>
      <c r="E7" t="s">
        <v>420</v>
      </c>
    </row>
    <row r="8" spans="1:8" x14ac:dyDescent="0.25">
      <c r="A8" s="27" t="s">
        <v>41</v>
      </c>
      <c r="B8" s="26">
        <v>113742487</v>
      </c>
      <c r="D8" s="27" t="s">
        <v>73</v>
      </c>
      <c r="E8" s="26">
        <v>430</v>
      </c>
    </row>
    <row r="9" spans="1:8" x14ac:dyDescent="0.25">
      <c r="A9" s="27" t="s">
        <v>73</v>
      </c>
      <c r="B9" s="26">
        <v>79518498</v>
      </c>
      <c r="D9" s="27" t="s">
        <v>51</v>
      </c>
      <c r="E9" s="26">
        <v>224</v>
      </c>
    </row>
    <row r="10" spans="1:8" x14ac:dyDescent="0.25">
      <c r="A10" s="27" t="s">
        <v>0</v>
      </c>
      <c r="B10" s="26">
        <v>64154460</v>
      </c>
      <c r="D10" s="27" t="s">
        <v>0</v>
      </c>
      <c r="E10" s="26">
        <v>276</v>
      </c>
    </row>
    <row r="11" spans="1:8" x14ac:dyDescent="0.25">
      <c r="A11" s="27" t="s">
        <v>51</v>
      </c>
      <c r="B11" s="26">
        <v>45265000</v>
      </c>
      <c r="D11" s="27" t="s">
        <v>41</v>
      </c>
      <c r="E11" s="26">
        <v>211</v>
      </c>
    </row>
    <row r="12" spans="1:8" x14ac:dyDescent="0.25">
      <c r="A12" s="27" t="s">
        <v>418</v>
      </c>
      <c r="B12" s="26">
        <v>302680445</v>
      </c>
      <c r="D12" s="27" t="s">
        <v>418</v>
      </c>
      <c r="E12" s="26">
        <v>1141</v>
      </c>
    </row>
    <row r="13" spans="1:8" x14ac:dyDescent="0.25">
      <c r="A13" s="27"/>
      <c r="B13" s="26"/>
      <c r="D13" s="27"/>
      <c r="E13" s="26"/>
    </row>
    <row r="14" spans="1:8" x14ac:dyDescent="0.25">
      <c r="C14" s="25" t="s">
        <v>381</v>
      </c>
      <c r="D14" t="s">
        <v>423</v>
      </c>
      <c r="E14" s="25" t="s">
        <v>381</v>
      </c>
      <c r="F14" t="s">
        <v>423</v>
      </c>
    </row>
    <row r="15" spans="1:8" x14ac:dyDescent="0.25">
      <c r="A15" s="28" t="s">
        <v>422</v>
      </c>
      <c r="C15" s="28" t="s">
        <v>424</v>
      </c>
      <c r="E15" s="28" t="s">
        <v>425</v>
      </c>
    </row>
    <row r="16" spans="1:8" x14ac:dyDescent="0.25">
      <c r="A16" s="25" t="s">
        <v>417</v>
      </c>
      <c r="B16" t="s">
        <v>413</v>
      </c>
      <c r="C16" s="25" t="s">
        <v>417</v>
      </c>
      <c r="D16" t="s">
        <v>413</v>
      </c>
      <c r="E16" s="25" t="s">
        <v>417</v>
      </c>
      <c r="F16" t="s">
        <v>413</v>
      </c>
      <c r="H16" s="25"/>
    </row>
    <row r="17" spans="1:7" x14ac:dyDescent="0.25">
      <c r="A17" s="27" t="s">
        <v>389</v>
      </c>
      <c r="B17" s="26">
        <v>114375000</v>
      </c>
      <c r="C17" s="27" t="s">
        <v>396</v>
      </c>
      <c r="D17" s="26">
        <v>87790000</v>
      </c>
      <c r="E17" s="27" t="s">
        <v>170</v>
      </c>
      <c r="F17" s="26">
        <v>134375000</v>
      </c>
    </row>
    <row r="18" spans="1:7" x14ac:dyDescent="0.25">
      <c r="A18" s="27" t="s">
        <v>6</v>
      </c>
      <c r="B18" s="26">
        <v>83689500</v>
      </c>
      <c r="C18" s="27" t="s">
        <v>392</v>
      </c>
      <c r="D18" s="26">
        <v>58707487</v>
      </c>
      <c r="E18" s="27" t="s">
        <v>238</v>
      </c>
      <c r="F18" s="26">
        <v>63689500</v>
      </c>
    </row>
    <row r="19" spans="1:7" x14ac:dyDescent="0.25">
      <c r="A19" s="27" t="s">
        <v>220</v>
      </c>
      <c r="B19" s="26">
        <v>48231113</v>
      </c>
      <c r="C19" s="27" t="s">
        <v>285</v>
      </c>
      <c r="D19" s="26">
        <v>42610000</v>
      </c>
      <c r="E19" s="27" t="s">
        <v>78</v>
      </c>
      <c r="F19" s="26">
        <v>33900000</v>
      </c>
    </row>
    <row r="20" spans="1:7" x14ac:dyDescent="0.25">
      <c r="A20" s="27" t="s">
        <v>155</v>
      </c>
      <c r="B20" s="26">
        <v>47430201</v>
      </c>
      <c r="C20" s="27" t="s">
        <v>394</v>
      </c>
      <c r="D20" s="26">
        <v>36226885</v>
      </c>
      <c r="E20" s="27" t="s">
        <v>154</v>
      </c>
      <c r="F20" s="26">
        <v>25550000</v>
      </c>
    </row>
    <row r="21" spans="1:7" x14ac:dyDescent="0.25">
      <c r="A21" s="27" t="s">
        <v>334</v>
      </c>
      <c r="B21" s="26">
        <v>8954631</v>
      </c>
      <c r="C21" s="27" t="s">
        <v>15</v>
      </c>
      <c r="D21" s="26">
        <v>28986113</v>
      </c>
      <c r="E21" s="27" t="s">
        <v>385</v>
      </c>
      <c r="F21" s="26">
        <v>21230201</v>
      </c>
    </row>
    <row r="22" spans="1:7" x14ac:dyDescent="0.25">
      <c r="A22" s="27" t="s">
        <v>418</v>
      </c>
      <c r="B22" s="26">
        <v>302680445</v>
      </c>
      <c r="C22" s="27" t="s">
        <v>186</v>
      </c>
      <c r="D22" s="26">
        <v>20919960</v>
      </c>
      <c r="E22" s="27" t="s">
        <v>9</v>
      </c>
      <c r="F22" s="26">
        <v>14331113</v>
      </c>
    </row>
    <row r="23" spans="1:7" x14ac:dyDescent="0.25">
      <c r="C23" s="27" t="s">
        <v>281</v>
      </c>
      <c r="D23" s="26">
        <v>18690000</v>
      </c>
      <c r="E23" s="27" t="s">
        <v>386</v>
      </c>
      <c r="F23" s="26">
        <v>8954631</v>
      </c>
    </row>
    <row r="24" spans="1:7" x14ac:dyDescent="0.25">
      <c r="C24" s="27" t="s">
        <v>395</v>
      </c>
      <c r="D24" s="26">
        <v>5250000</v>
      </c>
      <c r="E24" s="27" t="s">
        <v>162</v>
      </c>
      <c r="F24" s="26">
        <v>650000</v>
      </c>
    </row>
    <row r="25" spans="1:7" x14ac:dyDescent="0.25">
      <c r="C25" s="27" t="s">
        <v>397</v>
      </c>
      <c r="D25" s="26">
        <v>2850000</v>
      </c>
      <c r="E25" s="27" t="s">
        <v>418</v>
      </c>
      <c r="F25" s="26">
        <v>302680445</v>
      </c>
    </row>
    <row r="26" spans="1:7" x14ac:dyDescent="0.25">
      <c r="C26" s="27" t="s">
        <v>393</v>
      </c>
      <c r="D26" s="26">
        <v>650000</v>
      </c>
    </row>
    <row r="27" spans="1:7" x14ac:dyDescent="0.25">
      <c r="C27" s="27" t="s">
        <v>418</v>
      </c>
      <c r="D27" s="26">
        <v>302680445</v>
      </c>
    </row>
    <row r="29" spans="1:7" x14ac:dyDescent="0.25">
      <c r="A29" s="25" t="s">
        <v>411</v>
      </c>
      <c r="B29" t="s">
        <v>423</v>
      </c>
      <c r="D29" s="25" t="s">
        <v>384</v>
      </c>
      <c r="E29" t="s">
        <v>423</v>
      </c>
    </row>
    <row r="30" spans="1:7" x14ac:dyDescent="0.25">
      <c r="A30" s="28" t="s">
        <v>426</v>
      </c>
      <c r="D30" s="28" t="s">
        <v>427</v>
      </c>
    </row>
    <row r="31" spans="1:7" x14ac:dyDescent="0.25">
      <c r="A31" s="25" t="s">
        <v>417</v>
      </c>
      <c r="B31" t="s">
        <v>413</v>
      </c>
      <c r="D31" s="25" t="s">
        <v>417</v>
      </c>
      <c r="E31" t="s">
        <v>413</v>
      </c>
      <c r="F31" s="25"/>
      <c r="G31" s="25"/>
    </row>
    <row r="32" spans="1:7" x14ac:dyDescent="0.25">
      <c r="A32" s="27" t="s">
        <v>170</v>
      </c>
      <c r="B32" s="26">
        <v>134375000</v>
      </c>
      <c r="D32" s="27" t="s">
        <v>396</v>
      </c>
      <c r="E32" s="26">
        <v>87790000</v>
      </c>
    </row>
    <row r="33" spans="1:5" x14ac:dyDescent="0.25">
      <c r="A33" s="27" t="s">
        <v>238</v>
      </c>
      <c r="B33" s="26">
        <v>63689500</v>
      </c>
      <c r="D33" s="27" t="s">
        <v>392</v>
      </c>
      <c r="E33" s="26">
        <v>58707487</v>
      </c>
    </row>
    <row r="34" spans="1:5" x14ac:dyDescent="0.25">
      <c r="A34" s="27" t="s">
        <v>78</v>
      </c>
      <c r="B34" s="26">
        <v>33900000</v>
      </c>
      <c r="D34" s="27" t="s">
        <v>285</v>
      </c>
      <c r="E34" s="26">
        <v>42610000</v>
      </c>
    </row>
    <row r="35" spans="1:5" x14ac:dyDescent="0.25">
      <c r="A35" s="27" t="s">
        <v>154</v>
      </c>
      <c r="B35" s="26">
        <v>25550000</v>
      </c>
      <c r="D35" s="27" t="s">
        <v>394</v>
      </c>
      <c r="E35" s="26">
        <v>36226885</v>
      </c>
    </row>
    <row r="36" spans="1:5" x14ac:dyDescent="0.25">
      <c r="A36" s="27" t="s">
        <v>385</v>
      </c>
      <c r="B36" s="26">
        <v>21230201</v>
      </c>
      <c r="D36" s="27" t="s">
        <v>15</v>
      </c>
      <c r="E36" s="26">
        <v>28986113</v>
      </c>
    </row>
    <row r="37" spans="1:5" x14ac:dyDescent="0.25">
      <c r="A37" s="27" t="s">
        <v>9</v>
      </c>
      <c r="B37" s="26">
        <v>14331113</v>
      </c>
      <c r="D37" s="27" t="s">
        <v>186</v>
      </c>
      <c r="E37" s="26">
        <v>20919960</v>
      </c>
    </row>
    <row r="38" spans="1:5" x14ac:dyDescent="0.25">
      <c r="A38" s="27" t="s">
        <v>386</v>
      </c>
      <c r="B38" s="26">
        <v>8954631</v>
      </c>
      <c r="D38" s="27" t="s">
        <v>281</v>
      </c>
      <c r="E38" s="26">
        <v>18690000</v>
      </c>
    </row>
    <row r="39" spans="1:5" x14ac:dyDescent="0.25">
      <c r="A39" s="27" t="s">
        <v>162</v>
      </c>
      <c r="B39" s="26">
        <v>650000</v>
      </c>
      <c r="D39" s="27" t="s">
        <v>395</v>
      </c>
      <c r="E39" s="26">
        <v>5250000</v>
      </c>
    </row>
    <row r="40" spans="1:5" x14ac:dyDescent="0.25">
      <c r="A40" s="27" t="s">
        <v>418</v>
      </c>
      <c r="B40" s="26">
        <v>302680445</v>
      </c>
      <c r="D40" s="27" t="s">
        <v>397</v>
      </c>
      <c r="E40" s="26">
        <v>2850000</v>
      </c>
    </row>
    <row r="41" spans="1:5" x14ac:dyDescent="0.25">
      <c r="D41" s="27" t="s">
        <v>393</v>
      </c>
      <c r="E41" s="26">
        <v>650000</v>
      </c>
    </row>
    <row r="42" spans="1:5" x14ac:dyDescent="0.25">
      <c r="D42" s="27" t="s">
        <v>418</v>
      </c>
      <c r="E42" s="26">
        <v>302680445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C6EF8-FF16-494D-9F44-CE14B5C5C4DA}">
  <dimension ref="A1"/>
  <sheetViews>
    <sheetView showGridLines="0" showRowColHeaders="0" tabSelected="1" zoomScale="73" zoomScaleNormal="73" workbookViewId="0">
      <selection activeCell="Z23" sqref="Z2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DATA</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HI</cp:lastModifiedBy>
  <dcterms:created xsi:type="dcterms:W3CDTF">2025-10-20T20:05:08Z</dcterms:created>
  <dcterms:modified xsi:type="dcterms:W3CDTF">2026-01-12T15:12:50Z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